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2"/>
    <sheet name="Consolidated" sheetId="2" state="visible" r:id="rId3"/>
    <sheet name="Yarn" sheetId="3" state="visible" r:id="rId4"/>
    <sheet name="Cloth" sheetId="4" state="visible" r:id="rId5"/>
    <sheet name="Flags" sheetId="5" state="visible" r:id="rId6"/>
    <sheet name="Shirts" sheetId="6" state="visible" r:id="rId7"/>
    <sheet name="Nagpur Stock" sheetId="7" state="visible" r:id="rId8"/>
    <sheet name="T Shirts" sheetId="8" state="visible" r:id="rId9"/>
    <sheet name="Saree" sheetId="9" state="visible" r:id="rId10"/>
  </sheets>
  <definedNames>
    <definedName function="false" hidden="true" localSheetId="3" name="_xlnm._FilterDatabase" vbProcedure="false">Cloth!$A$1:$E$1</definedName>
    <definedName function="false" hidden="true" localSheetId="1" name="_xlnm._FilterDatabase" vbProcedure="false">Consolidated!$A$1:$J$400</definedName>
  </definedName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<sst xmlns="http://schemas.openxmlformats.org/spreadsheetml/2006/main" count="3465" uniqueCount="539">
  <si>
    <t xml:space="preserve">Location</t>
  </si>
  <si>
    <t xml:space="preserve">Vijayawada</t>
  </si>
  <si>
    <t xml:space="preserve">Data</t>
  </si>
  <si>
    <t xml:space="preserve">Item</t>
  </si>
  <si>
    <t xml:space="preserve">Sum of Quantity</t>
  </si>
  <si>
    <t xml:space="preserve">Average of Unit Cost</t>
  </si>
  <si>
    <t xml:space="preserve">Sum of Total Cost</t>
  </si>
  <si>
    <t xml:space="preserve">Flag</t>
  </si>
  <si>
    <t xml:space="preserve">Shirts</t>
  </si>
  <si>
    <t xml:space="preserve">Total Result</t>
  </si>
  <si>
    <t xml:space="preserve">SNO</t>
  </si>
  <si>
    <t xml:space="preserve">Description</t>
  </si>
  <si>
    <t xml:space="preserve">Unit</t>
  </si>
  <si>
    <t xml:space="preserve">Quantity</t>
  </si>
  <si>
    <t xml:space="preserve">Unit Cost</t>
  </si>
  <si>
    <t xml:space="preserve">Total Cost</t>
  </si>
  <si>
    <t xml:space="preserve">Remarks</t>
  </si>
  <si>
    <t xml:space="preserve">Remarks 2</t>
  </si>
  <si>
    <t xml:space="preserve">Cost per Dabbi</t>
  </si>
  <si>
    <t xml:space="preserve">Cost per Kg</t>
  </si>
  <si>
    <t xml:space="preserve">Chirala</t>
  </si>
  <si>
    <t xml:space="preserve">Yarn</t>
  </si>
  <si>
    <t xml:space="preserve">White</t>
  </si>
  <si>
    <t xml:space="preserve">Kg</t>
  </si>
  <si>
    <t xml:space="preserve">1 Dabbi</t>
  </si>
  <si>
    <t xml:space="preserve">4.5 Kg</t>
  </si>
  <si>
    <t xml:space="preserve">Lemon</t>
  </si>
  <si>
    <t xml:space="preserve">Starch</t>
  </si>
  <si>
    <t xml:space="preserve">Karikam</t>
  </si>
  <si>
    <t xml:space="preserve">Dyeing</t>
  </si>
  <si>
    <t xml:space="preserve">Black</t>
  </si>
  <si>
    <t xml:space="preserve">Straightening</t>
  </si>
  <si>
    <t xml:space="preserve">Red</t>
  </si>
  <si>
    <t xml:space="preserve">Orange</t>
  </si>
  <si>
    <t xml:space="preserve">Total Yarn Cost</t>
  </si>
  <si>
    <t xml:space="preserve">Dark Green</t>
  </si>
  <si>
    <t xml:space="preserve">Bright Red</t>
  </si>
  <si>
    <t xml:space="preserve">Ink Blue</t>
  </si>
  <si>
    <t xml:space="preserve">Cloth Pricing</t>
  </si>
  <si>
    <t xml:space="preserve">Blue</t>
  </si>
  <si>
    <t xml:space="preserve">Plain </t>
  </si>
  <si>
    <t xml:space="preserve">290 + GST</t>
  </si>
  <si>
    <t xml:space="preserve">Red Brown</t>
  </si>
  <si>
    <t xml:space="preserve">Stripes</t>
  </si>
  <si>
    <t xml:space="preserve">297 + GST</t>
  </si>
  <si>
    <t xml:space="preserve">Rani</t>
  </si>
  <si>
    <t xml:space="preserve">Checks</t>
  </si>
  <si>
    <t xml:space="preserve">304 + GST</t>
  </si>
  <si>
    <t xml:space="preserve">Brown</t>
  </si>
  <si>
    <t xml:space="preserve">Komali</t>
  </si>
  <si>
    <t xml:space="preserve">Pachi Mamidi</t>
  </si>
  <si>
    <t xml:space="preserve">Flag </t>
  </si>
  <si>
    <t xml:space="preserve">15% reduced from below sale price</t>
  </si>
  <si>
    <t xml:space="preserve">Light Aloevera Green</t>
  </si>
  <si>
    <t xml:space="preserve">Biscuit</t>
  </si>
  <si>
    <t xml:space="preserve">Silver Green</t>
  </si>
  <si>
    <t xml:space="preserve">Manohara</t>
  </si>
  <si>
    <t xml:space="preserve">Local Khadi</t>
  </si>
  <si>
    <t xml:space="preserve">Ganga Jamuna</t>
  </si>
  <si>
    <t xml:space="preserve">Dark Syb Blue</t>
  </si>
  <si>
    <t xml:space="preserve">Light Ocean Green</t>
  </si>
  <si>
    <t xml:space="preserve">Dark Lemon</t>
  </si>
  <si>
    <t xml:space="preserve">Nalla Kempu</t>
  </si>
  <si>
    <t xml:space="preserve">Grey</t>
  </si>
  <si>
    <t xml:space="preserve">Cream Biscuit</t>
  </si>
  <si>
    <t xml:space="preserve">Saree</t>
  </si>
  <si>
    <t xml:space="preserve">Violet</t>
  </si>
  <si>
    <t xml:space="preserve">INR 290 per metre; 6 metres; 200 stitching</t>
  </si>
  <si>
    <t xml:space="preserve">Light Pink</t>
  </si>
  <si>
    <t xml:space="preserve">Red White</t>
  </si>
  <si>
    <t xml:space="preserve">Shirt</t>
  </si>
  <si>
    <t xml:space="preserve">Dark Blue</t>
  </si>
  <si>
    <t xml:space="preserve">Half Sleeve</t>
  </si>
  <si>
    <t xml:space="preserve">INR 290 per metre; 2 metre length; 252 for stitching</t>
  </si>
  <si>
    <t xml:space="preserve">Yellow</t>
  </si>
  <si>
    <t xml:space="preserve">Full Sleeve</t>
  </si>
  <si>
    <t xml:space="preserve">INR 290 per metre; 2.25 metre length; 252 for stitching</t>
  </si>
  <si>
    <t xml:space="preserve">White Green</t>
  </si>
  <si>
    <t xml:space="preserve">Light Biscuit</t>
  </si>
  <si>
    <t xml:space="preserve">Light Green</t>
  </si>
  <si>
    <t xml:space="preserve">T-Shirt</t>
  </si>
  <si>
    <t xml:space="preserve">Bareen</t>
  </si>
  <si>
    <t xml:space="preserve">INR 260 + GST per T-Shirt; 10% lesser than sale price</t>
  </si>
  <si>
    <t xml:space="preserve">Light Bareen</t>
  </si>
  <si>
    <t xml:space="preserve">Dark Red(Kumkuma)</t>
  </si>
  <si>
    <t xml:space="preserve">Light violet</t>
  </si>
  <si>
    <t xml:space="preserve">Kanakjambaram</t>
  </si>
  <si>
    <t xml:space="preserve">Nagpur Yarn</t>
  </si>
  <si>
    <t xml:space="preserve">Cloth</t>
  </si>
  <si>
    <t xml:space="preserve">C-102-C</t>
  </si>
  <si>
    <t xml:space="preserve">Metre</t>
  </si>
  <si>
    <t xml:space="preserve">C-118-C</t>
  </si>
  <si>
    <t xml:space="preserve">C-123-C</t>
  </si>
  <si>
    <t xml:space="preserve">C-125-C</t>
  </si>
  <si>
    <t xml:space="preserve">C-126-C</t>
  </si>
  <si>
    <t xml:space="preserve">C-127-C</t>
  </si>
  <si>
    <t xml:space="preserve">C-128-C</t>
  </si>
  <si>
    <t xml:space="preserve">C-129-C</t>
  </si>
  <si>
    <t xml:space="preserve">C-130-C</t>
  </si>
  <si>
    <t xml:space="preserve">C-131-C</t>
  </si>
  <si>
    <t xml:space="preserve">C-132-C</t>
  </si>
  <si>
    <t xml:space="preserve">C-133-C</t>
  </si>
  <si>
    <t xml:space="preserve">Loom</t>
  </si>
  <si>
    <t xml:space="preserve">C-134-C</t>
  </si>
  <si>
    <t xml:space="preserve">C-135-C</t>
  </si>
  <si>
    <t xml:space="preserve">C-136-C</t>
  </si>
  <si>
    <t xml:space="preserve">C-137-C</t>
  </si>
  <si>
    <t xml:space="preserve">P-101-C</t>
  </si>
  <si>
    <t xml:space="preserve">Plain</t>
  </si>
  <si>
    <t xml:space="preserve">P-106-C</t>
  </si>
  <si>
    <t xml:space="preserve">P-109-C</t>
  </si>
  <si>
    <t xml:space="preserve">P-119-C</t>
  </si>
  <si>
    <t xml:space="preserve">P-124-C</t>
  </si>
  <si>
    <t xml:space="preserve">P-127-C</t>
  </si>
  <si>
    <t xml:space="preserve">P-130-C</t>
  </si>
  <si>
    <t xml:space="preserve">P-131-C</t>
  </si>
  <si>
    <t xml:space="preserve">P-132-C</t>
  </si>
  <si>
    <t xml:space="preserve">P-133-C</t>
  </si>
  <si>
    <t xml:space="preserve">P-134-C</t>
  </si>
  <si>
    <t xml:space="preserve">P-135-C</t>
  </si>
  <si>
    <t xml:space="preserve">P-137-C</t>
  </si>
  <si>
    <t xml:space="preserve">P-139-C</t>
  </si>
  <si>
    <t xml:space="preserve">P-140-C</t>
  </si>
  <si>
    <t xml:space="preserve">P-141-C</t>
  </si>
  <si>
    <t xml:space="preserve">P-142-C</t>
  </si>
  <si>
    <t xml:space="preserve">P-143-C</t>
  </si>
  <si>
    <t xml:space="preserve">P-144-C</t>
  </si>
  <si>
    <t xml:space="preserve">P-145-C</t>
  </si>
  <si>
    <t xml:space="preserve">P-146-C</t>
  </si>
  <si>
    <t xml:space="preserve">P-147-C</t>
  </si>
  <si>
    <t xml:space="preserve">P-148-C</t>
  </si>
  <si>
    <t xml:space="preserve">P-149-C</t>
  </si>
  <si>
    <t xml:space="preserve">P-150-C</t>
  </si>
  <si>
    <t xml:space="preserve">P-152-C</t>
  </si>
  <si>
    <t xml:space="preserve">P-157-C</t>
  </si>
  <si>
    <t xml:space="preserve">P-158-C</t>
  </si>
  <si>
    <t xml:space="preserve">P-159-C</t>
  </si>
  <si>
    <t xml:space="preserve">P-160-C</t>
  </si>
  <si>
    <t xml:space="preserve">P-161-C</t>
  </si>
  <si>
    <t xml:space="preserve">P-162-C</t>
  </si>
  <si>
    <t xml:space="preserve">P-163-C</t>
  </si>
  <si>
    <t xml:space="preserve">P-164-C</t>
  </si>
  <si>
    <t xml:space="preserve">P-165-C</t>
  </si>
  <si>
    <t xml:space="preserve">P-167-C</t>
  </si>
  <si>
    <t xml:space="preserve">P-168-C</t>
  </si>
  <si>
    <t xml:space="preserve">P-169-C</t>
  </si>
  <si>
    <t xml:space="preserve">P-170-C</t>
  </si>
  <si>
    <t xml:space="preserve">P-171-C</t>
  </si>
  <si>
    <t xml:space="preserve">P-172-C</t>
  </si>
  <si>
    <t xml:space="preserve">P-173-C</t>
  </si>
  <si>
    <t xml:space="preserve">P-174-C</t>
  </si>
  <si>
    <t xml:space="preserve">P-175-C</t>
  </si>
  <si>
    <t xml:space="preserve">P-177-C</t>
  </si>
  <si>
    <t xml:space="preserve">P-178-C</t>
  </si>
  <si>
    <t xml:space="preserve">P-179-C</t>
  </si>
  <si>
    <t xml:space="preserve">P-180-C</t>
  </si>
  <si>
    <t xml:space="preserve">P-182-C</t>
  </si>
  <si>
    <t xml:space="preserve">P-183-C</t>
  </si>
  <si>
    <t xml:space="preserve">S-110-C</t>
  </si>
  <si>
    <t xml:space="preserve">S-119-C</t>
  </si>
  <si>
    <t xml:space="preserve">S-121-C</t>
  </si>
  <si>
    <t xml:space="preserve">S-122-C</t>
  </si>
  <si>
    <t xml:space="preserve">S-123-C</t>
  </si>
  <si>
    <t xml:space="preserve">S-124-C</t>
  </si>
  <si>
    <t xml:space="preserve">S-128-C</t>
  </si>
  <si>
    <t xml:space="preserve">S-129-C</t>
  </si>
  <si>
    <t xml:space="preserve">S-133-C</t>
  </si>
  <si>
    <t xml:space="preserve">S-134-C</t>
  </si>
  <si>
    <t xml:space="preserve">S-135-C</t>
  </si>
  <si>
    <t xml:space="preserve">S-136-C</t>
  </si>
  <si>
    <t xml:space="preserve">S-137-C</t>
  </si>
  <si>
    <t xml:space="preserve">S-138-C</t>
  </si>
  <si>
    <t xml:space="preserve">S-139-C</t>
  </si>
  <si>
    <t xml:space="preserve">Half White</t>
  </si>
  <si>
    <t xml:space="preserve">Pant</t>
  </si>
  <si>
    <t xml:space="preserve">Small</t>
  </si>
  <si>
    <t xml:space="preserve">Nos</t>
  </si>
  <si>
    <t xml:space="preserve">Medium</t>
  </si>
  <si>
    <t xml:space="preserve">Large</t>
  </si>
  <si>
    <t xml:space="preserve">C-109HS</t>
  </si>
  <si>
    <t xml:space="preserve">Checks </t>
  </si>
  <si>
    <t xml:space="preserve">C-109FS</t>
  </si>
  <si>
    <t xml:space="preserve">C-113HS</t>
  </si>
  <si>
    <t xml:space="preserve">C-113FS</t>
  </si>
  <si>
    <t xml:space="preserve">C-114HS</t>
  </si>
  <si>
    <t xml:space="preserve">C-114FS</t>
  </si>
  <si>
    <t xml:space="preserve">C-115HS</t>
  </si>
  <si>
    <t xml:space="preserve">C-115FS</t>
  </si>
  <si>
    <t xml:space="preserve">C-117HS</t>
  </si>
  <si>
    <t xml:space="preserve">C-117FS</t>
  </si>
  <si>
    <t xml:space="preserve">C-118HS</t>
  </si>
  <si>
    <t xml:space="preserve">C-118FS</t>
  </si>
  <si>
    <t xml:space="preserve">C-119FS</t>
  </si>
  <si>
    <t xml:space="preserve">C-119HS</t>
  </si>
  <si>
    <t xml:space="preserve">C-121HS</t>
  </si>
  <si>
    <t xml:space="preserve">C-121FS</t>
  </si>
  <si>
    <t xml:space="preserve">C-123HS</t>
  </si>
  <si>
    <t xml:space="preserve">C-123FS</t>
  </si>
  <si>
    <t xml:space="preserve">C-124HS</t>
  </si>
  <si>
    <t xml:space="preserve">C-124FS</t>
  </si>
  <si>
    <t xml:space="preserve">P-102HS</t>
  </si>
  <si>
    <t xml:space="preserve">P-102FS</t>
  </si>
  <si>
    <t xml:space="preserve">P-106HS</t>
  </si>
  <si>
    <t xml:space="preserve">P-106FS</t>
  </si>
  <si>
    <t xml:space="preserve">P-107HS</t>
  </si>
  <si>
    <t xml:space="preserve">P-107FS</t>
  </si>
  <si>
    <t xml:space="preserve">P-109HS</t>
  </si>
  <si>
    <t xml:space="preserve">P-109FS</t>
  </si>
  <si>
    <t xml:space="preserve">P-113HS</t>
  </si>
  <si>
    <t xml:space="preserve">P-113FS</t>
  </si>
  <si>
    <t xml:space="preserve">P-117HS</t>
  </si>
  <si>
    <t xml:space="preserve">P-117FS</t>
  </si>
  <si>
    <t xml:space="preserve">P-118HS</t>
  </si>
  <si>
    <t xml:space="preserve">P-118FS</t>
  </si>
  <si>
    <t xml:space="preserve">P-121HS</t>
  </si>
  <si>
    <t xml:space="preserve">P-121FS</t>
  </si>
  <si>
    <t xml:space="preserve">P-123HS</t>
  </si>
  <si>
    <t xml:space="preserve">P-123FS</t>
  </si>
  <si>
    <t xml:space="preserve">P-124HS</t>
  </si>
  <si>
    <t xml:space="preserve">P-124FS</t>
  </si>
  <si>
    <t xml:space="preserve">P-125HS</t>
  </si>
  <si>
    <t xml:space="preserve">P-125FS</t>
  </si>
  <si>
    <t xml:space="preserve">P-127HS</t>
  </si>
  <si>
    <t xml:space="preserve">P-127FS</t>
  </si>
  <si>
    <t xml:space="preserve">P-128HS</t>
  </si>
  <si>
    <t xml:space="preserve">P-128FS</t>
  </si>
  <si>
    <t xml:space="preserve">P-129HS</t>
  </si>
  <si>
    <t xml:space="preserve">P-129FS</t>
  </si>
  <si>
    <t xml:space="preserve">P-131HS</t>
  </si>
  <si>
    <t xml:space="preserve">P-131FS</t>
  </si>
  <si>
    <t xml:space="preserve">P-132HS</t>
  </si>
  <si>
    <t xml:space="preserve">P-132FS</t>
  </si>
  <si>
    <t xml:space="preserve">P-133HS</t>
  </si>
  <si>
    <t xml:space="preserve">P-133FS</t>
  </si>
  <si>
    <t xml:space="preserve">P-135HS</t>
  </si>
  <si>
    <t xml:space="preserve">P-135FS</t>
  </si>
  <si>
    <t xml:space="preserve">P-136HS</t>
  </si>
  <si>
    <t xml:space="preserve">P-136FS</t>
  </si>
  <si>
    <t xml:space="preserve">P-137HS</t>
  </si>
  <si>
    <t xml:space="preserve">P-137FS</t>
  </si>
  <si>
    <t xml:space="preserve">P-139HS</t>
  </si>
  <si>
    <t xml:space="preserve">P-139FS</t>
  </si>
  <si>
    <t xml:space="preserve">P-140HS</t>
  </si>
  <si>
    <t xml:space="preserve">P-140FS</t>
  </si>
  <si>
    <t xml:space="preserve">P-141HS</t>
  </si>
  <si>
    <t xml:space="preserve">P-141FS</t>
  </si>
  <si>
    <t xml:space="preserve">P-142HS</t>
  </si>
  <si>
    <t xml:space="preserve">P-142FS</t>
  </si>
  <si>
    <t xml:space="preserve">P-143HS</t>
  </si>
  <si>
    <t xml:space="preserve">P-143FS</t>
  </si>
  <si>
    <t xml:space="preserve">P-147HS</t>
  </si>
  <si>
    <t xml:space="preserve">P-147FS</t>
  </si>
  <si>
    <t xml:space="preserve">P-148HS</t>
  </si>
  <si>
    <t xml:space="preserve">P-148FS</t>
  </si>
  <si>
    <t xml:space="preserve">P-150HS</t>
  </si>
  <si>
    <t xml:space="preserve">P-150FS</t>
  </si>
  <si>
    <t xml:space="preserve">P-153HS</t>
  </si>
  <si>
    <t xml:space="preserve">P-153FS</t>
  </si>
  <si>
    <t xml:space="preserve">P-154HS</t>
  </si>
  <si>
    <t xml:space="preserve">P-154FS</t>
  </si>
  <si>
    <t xml:space="preserve">P-155HS</t>
  </si>
  <si>
    <t xml:space="preserve">P-155FS</t>
  </si>
  <si>
    <t xml:space="preserve">P-156HS</t>
  </si>
  <si>
    <t xml:space="preserve">P-156FS</t>
  </si>
  <si>
    <t xml:space="preserve">P-170HS</t>
  </si>
  <si>
    <t xml:space="preserve">P-170FS</t>
  </si>
  <si>
    <t xml:space="preserve">P-176HS</t>
  </si>
  <si>
    <t xml:space="preserve">P-176FS</t>
  </si>
  <si>
    <t xml:space="preserve">P-177HS</t>
  </si>
  <si>
    <t xml:space="preserve">P-177FS</t>
  </si>
  <si>
    <t xml:space="preserve">P-178HS</t>
  </si>
  <si>
    <t xml:space="preserve">P-178FS</t>
  </si>
  <si>
    <t xml:space="preserve">S-105HS</t>
  </si>
  <si>
    <t xml:space="preserve">S-105FS</t>
  </si>
  <si>
    <t xml:space="preserve">S-107HS</t>
  </si>
  <si>
    <t xml:space="preserve">S-107FS</t>
  </si>
  <si>
    <t xml:space="preserve">S-108HS</t>
  </si>
  <si>
    <t xml:space="preserve">S-108FS</t>
  </si>
  <si>
    <t xml:space="preserve">S-110HS</t>
  </si>
  <si>
    <t xml:space="preserve">S-110FS</t>
  </si>
  <si>
    <t xml:space="preserve">S-111HS</t>
  </si>
  <si>
    <t xml:space="preserve">S-111FS</t>
  </si>
  <si>
    <t xml:space="preserve">S-113HS</t>
  </si>
  <si>
    <t xml:space="preserve">S-113FS</t>
  </si>
  <si>
    <t xml:space="preserve">S-114HS</t>
  </si>
  <si>
    <t xml:space="preserve">S-114FS</t>
  </si>
  <si>
    <t xml:space="preserve">S-115HS</t>
  </si>
  <si>
    <t xml:space="preserve">S-115FS</t>
  </si>
  <si>
    <t xml:space="preserve">S-117HS</t>
  </si>
  <si>
    <t xml:space="preserve">S-117FS</t>
  </si>
  <si>
    <t xml:space="preserve">S-118HS</t>
  </si>
  <si>
    <t xml:space="preserve">S-118FS</t>
  </si>
  <si>
    <t xml:space="preserve">S-119HS</t>
  </si>
  <si>
    <t xml:space="preserve">S-119FS</t>
  </si>
  <si>
    <t xml:space="preserve">S-120HS</t>
  </si>
  <si>
    <t xml:space="preserve">S-120FS</t>
  </si>
  <si>
    <t xml:space="preserve">S-121HS</t>
  </si>
  <si>
    <t xml:space="preserve">S-121FS</t>
  </si>
  <si>
    <t xml:space="preserve">S-122HS</t>
  </si>
  <si>
    <t xml:space="preserve">S-122FS</t>
  </si>
  <si>
    <t xml:space="preserve">S-124HS</t>
  </si>
  <si>
    <t xml:space="preserve">S-124FS</t>
  </si>
  <si>
    <t xml:space="preserve">S-126HS</t>
  </si>
  <si>
    <t xml:space="preserve">S-126FS</t>
  </si>
  <si>
    <t xml:space="preserve">S-127HS</t>
  </si>
  <si>
    <t xml:space="preserve">S-127FS</t>
  </si>
  <si>
    <t xml:space="preserve">S-128HS</t>
  </si>
  <si>
    <t xml:space="preserve">S-128FS</t>
  </si>
  <si>
    <t xml:space="preserve">S-129HS</t>
  </si>
  <si>
    <t xml:space="preserve">S-129FS</t>
  </si>
  <si>
    <t xml:space="preserve">S-130HS</t>
  </si>
  <si>
    <t xml:space="preserve">S-130FS</t>
  </si>
  <si>
    <t xml:space="preserve">S-131HS</t>
  </si>
  <si>
    <t xml:space="preserve">S-131FS</t>
  </si>
  <si>
    <t xml:space="preserve">S-132HS</t>
  </si>
  <si>
    <t xml:space="preserve">S-132FS</t>
  </si>
  <si>
    <t xml:space="preserve">Nagpur</t>
  </si>
  <si>
    <t xml:space="preserve">Shirt S104-L-FSL</t>
  </si>
  <si>
    <t xml:space="preserve">Shirt S104-L-HSL</t>
  </si>
  <si>
    <t xml:space="preserve">Shirt S104-M-FSL</t>
  </si>
  <si>
    <t xml:space="preserve">Shirt S101-L-FSL</t>
  </si>
  <si>
    <t xml:space="preserve">Shirt S102-L-FSL</t>
  </si>
  <si>
    <t xml:space="preserve">Shirt S125-L-FSL</t>
  </si>
  <si>
    <t xml:space="preserve">Shirt S125-L-HSL</t>
  </si>
  <si>
    <t xml:space="preserve">Shirt C115-L-FSL</t>
  </si>
  <si>
    <t xml:space="preserve">Shirt C119-L-FSL</t>
  </si>
  <si>
    <t xml:space="preserve">Shirt C119-L-HSL</t>
  </si>
  <si>
    <t xml:space="preserve">Shirt C114-L-FSL</t>
  </si>
  <si>
    <t xml:space="preserve">Shirt C114-L-HSL</t>
  </si>
  <si>
    <t xml:space="preserve">Shirt C121-L-HSL</t>
  </si>
  <si>
    <t xml:space="preserve">Shirt C118-L-FSL</t>
  </si>
  <si>
    <t xml:space="preserve">Shirt C118-L-HSL</t>
  </si>
  <si>
    <t xml:space="preserve">Shirt P109-M-FSL</t>
  </si>
  <si>
    <t xml:space="preserve">Shirt P105-L-FSL</t>
  </si>
  <si>
    <t xml:space="preserve">Shirt S109-L-HSL</t>
  </si>
  <si>
    <t xml:space="preserve">Shirt S109-M-FSL</t>
  </si>
  <si>
    <t xml:space="preserve">Shirt S116-L-HSL</t>
  </si>
  <si>
    <t xml:space="preserve">Shirt S120-L-FSL</t>
  </si>
  <si>
    <t xml:space="preserve">Shirt S120-M-FSL</t>
  </si>
  <si>
    <t xml:space="preserve">Shirt S115-L-HSL</t>
  </si>
  <si>
    <t xml:space="preserve">Shirt S113-L-FSL</t>
  </si>
  <si>
    <t xml:space="preserve">Shirt S121-L-FSL</t>
  </si>
  <si>
    <t xml:space="preserve">Shirt S121-L-HSL</t>
  </si>
  <si>
    <t xml:space="preserve">Shirt S129-L-HSL</t>
  </si>
  <si>
    <t xml:space="preserve">Shirt S123-L-FSL</t>
  </si>
  <si>
    <t xml:space="preserve">Shirt S112-L-FSL</t>
  </si>
  <si>
    <t xml:space="preserve">Shirt S112-M-FSL</t>
  </si>
  <si>
    <t xml:space="preserve">Shirt S106-L-HSL</t>
  </si>
  <si>
    <t xml:space="preserve">Shirt S106-M-FSL</t>
  </si>
  <si>
    <t xml:space="preserve">Shirt C121-M-FSL</t>
  </si>
  <si>
    <t xml:space="preserve">Shirt C109-L-FSL</t>
  </si>
  <si>
    <t xml:space="preserve">Shirt C109-L-HSL</t>
  </si>
  <si>
    <t xml:space="preserve">Shirt C109-M-FSL</t>
  </si>
  <si>
    <t xml:space="preserve">Shirt C109-M-HSL</t>
  </si>
  <si>
    <t xml:space="preserve">Shirt C113-L-FSL</t>
  </si>
  <si>
    <t xml:space="preserve">Shirt C113-L-HSL</t>
  </si>
  <si>
    <t xml:space="preserve">Shirt C120-L-FSL</t>
  </si>
  <si>
    <t xml:space="preserve">Shirt C117-L-FSL</t>
  </si>
  <si>
    <t xml:space="preserve">Shirt C117-L-HSL</t>
  </si>
  <si>
    <t xml:space="preserve">Shirt C117-M-FSL</t>
  </si>
  <si>
    <t xml:space="preserve">Shirt C116-L-FSL</t>
  </si>
  <si>
    <t xml:space="preserve">Shirt C116-L-HSL</t>
  </si>
  <si>
    <t xml:space="preserve">Shirt C116-M-FSL</t>
  </si>
  <si>
    <t xml:space="preserve">Shirt C101-L-FSL</t>
  </si>
  <si>
    <t xml:space="preserve">Shirt C101-L-HSL</t>
  </si>
  <si>
    <t xml:space="preserve">Shirt C112-L-FSL</t>
  </si>
  <si>
    <t xml:space="preserve">Shirt C112-L-HSL</t>
  </si>
  <si>
    <t xml:space="preserve">Shirt C104-L-HSL</t>
  </si>
  <si>
    <t xml:space="preserve">Shirt C107-L-HSL</t>
  </si>
  <si>
    <t xml:space="preserve">Shirt P101-L-FSL</t>
  </si>
  <si>
    <t xml:space="preserve">Shirt P101-L-HSL</t>
  </si>
  <si>
    <t xml:space="preserve">Shirt P101-M-FSL</t>
  </si>
  <si>
    <t xml:space="preserve">Shirt P107-L-FSL</t>
  </si>
  <si>
    <t xml:space="preserve">Shirt P107-L-HSL</t>
  </si>
  <si>
    <t xml:space="preserve">Shirt P107-M-FSL</t>
  </si>
  <si>
    <t xml:space="preserve">Shirt P106-L-FSL</t>
  </si>
  <si>
    <t xml:space="preserve">Shirt P106-L-HSL</t>
  </si>
  <si>
    <t xml:space="preserve">Shirt P106-M-FSL</t>
  </si>
  <si>
    <t xml:space="preserve">Shirt P102-L-HSL</t>
  </si>
  <si>
    <t xml:space="preserve">Shirt P102-M-FSL</t>
  </si>
  <si>
    <t xml:space="preserve">Shirt P110-M-FSL</t>
  </si>
  <si>
    <t xml:space="preserve">Shirt P105-M-FSL</t>
  </si>
  <si>
    <t xml:space="preserve">Shirt P108-L-FSL</t>
  </si>
  <si>
    <t xml:space="preserve">Shirt S114-L-FSL</t>
  </si>
  <si>
    <t xml:space="preserve">Shirt S114-L-HSL</t>
  </si>
  <si>
    <t xml:space="preserve">Shirt S111-M-FSL</t>
  </si>
  <si>
    <t xml:space="preserve">Shirt S117-M-FSL</t>
  </si>
  <si>
    <t xml:space="preserve">Shirt S115-M-HSL</t>
  </si>
  <si>
    <t xml:space="preserve">Shirt S120-L-HSL</t>
  </si>
  <si>
    <t xml:space="preserve">Shirt S110-M-FSL</t>
  </si>
  <si>
    <t xml:space="preserve">Shirt S129-M-FSL</t>
  </si>
  <si>
    <t xml:space="preserve">Plain P 106</t>
  </si>
  <si>
    <t xml:space="preserve">Plain P 114</t>
  </si>
  <si>
    <t xml:space="preserve">Plain P 122</t>
  </si>
  <si>
    <t xml:space="preserve">Plain P 116</t>
  </si>
  <si>
    <t xml:space="preserve">Plain P 123</t>
  </si>
  <si>
    <t xml:space="preserve">Plain P 109 </t>
  </si>
  <si>
    <t xml:space="preserve">Plain P 107</t>
  </si>
  <si>
    <t xml:space="preserve">Plain P 125</t>
  </si>
  <si>
    <t xml:space="preserve">Plain P 127</t>
  </si>
  <si>
    <t xml:space="preserve">Plain P 104</t>
  </si>
  <si>
    <t xml:space="preserve">Plain P 128</t>
  </si>
  <si>
    <t xml:space="preserve">Plain P 118</t>
  </si>
  <si>
    <t xml:space="preserve">Plain P 129</t>
  </si>
  <si>
    <t xml:space="preserve">Checks C 114</t>
  </si>
  <si>
    <t xml:space="preserve">Checks C 124</t>
  </si>
  <si>
    <t xml:space="preserve">Checks C 118</t>
  </si>
  <si>
    <t xml:space="preserve">Checks C 117</t>
  </si>
  <si>
    <t xml:space="preserve">Checks C 112</t>
  </si>
  <si>
    <t xml:space="preserve">Checks C 119</t>
  </si>
  <si>
    <t xml:space="preserve">Checks C 116</t>
  </si>
  <si>
    <t xml:space="preserve">Checks C 123</t>
  </si>
  <si>
    <t xml:space="preserve">Checks C 120</t>
  </si>
  <si>
    <t xml:space="preserve">Stripes S 110</t>
  </si>
  <si>
    <t xml:space="preserve">Stripes S 117</t>
  </si>
  <si>
    <t xml:space="preserve">Stripes S 108</t>
  </si>
  <si>
    <t xml:space="preserve">Stripes S 115</t>
  </si>
  <si>
    <t xml:space="preserve">Stripes S 111</t>
  </si>
  <si>
    <t xml:space="preserve">Stripes S 116</t>
  </si>
  <si>
    <t xml:space="preserve">Stripes S 129</t>
  </si>
  <si>
    <t xml:space="preserve">Stripes S 132</t>
  </si>
  <si>
    <t xml:space="preserve">Stripes S 121</t>
  </si>
  <si>
    <t xml:space="preserve">Stripes S 128</t>
  </si>
  <si>
    <t xml:space="preserve">Stripes S 120</t>
  </si>
  <si>
    <t xml:space="preserve">Stripes S 113</t>
  </si>
  <si>
    <t xml:space="preserve">Stripes S 112</t>
  </si>
  <si>
    <t xml:space="preserve">Shirt C111-L-FSL</t>
  </si>
  <si>
    <t xml:space="preserve">Degree</t>
  </si>
  <si>
    <t xml:space="preserve">Intermediate</t>
  </si>
  <si>
    <t xml:space="preserve">PG</t>
  </si>
  <si>
    <t xml:space="preserve">Diploma</t>
  </si>
  <si>
    <t xml:space="preserve">B.Tech</t>
  </si>
  <si>
    <t xml:space="preserve">SACWBY</t>
  </si>
  <si>
    <t xml:space="preserve">Weight (KG)</t>
  </si>
  <si>
    <t xml:space="preserve">Cloth Type</t>
  </si>
  <si>
    <t xml:space="preserve">Colour Code</t>
  </si>
  <si>
    <t xml:space="preserve">Total(Mtrs)</t>
  </si>
  <si>
    <t xml:space="preserve">Flag Type</t>
  </si>
  <si>
    <t xml:space="preserve">Cloth Code</t>
  </si>
  <si>
    <t xml:space="preserve">Shirt type</t>
  </si>
  <si>
    <t xml:space="preserve">Shirt code</t>
  </si>
  <si>
    <t xml:space="preserve">38</t>
  </si>
  <si>
    <t xml:space="preserve">40</t>
  </si>
  <si>
    <t xml:space="preserve">42</t>
  </si>
  <si>
    <t xml:space="preserve">C-109</t>
  </si>
  <si>
    <t xml:space="preserve">HS</t>
  </si>
  <si>
    <t xml:space="preserve">FS</t>
  </si>
  <si>
    <t xml:space="preserve">C-113</t>
  </si>
  <si>
    <t xml:space="preserve">C-114</t>
  </si>
  <si>
    <t xml:space="preserve">C-115</t>
  </si>
  <si>
    <t xml:space="preserve">C-117</t>
  </si>
  <si>
    <t xml:space="preserve">C-118</t>
  </si>
  <si>
    <t xml:space="preserve">C-119</t>
  </si>
  <si>
    <t xml:space="preserve">C-121</t>
  </si>
  <si>
    <t xml:space="preserve">C-123</t>
  </si>
  <si>
    <t xml:space="preserve">C-124</t>
  </si>
  <si>
    <t xml:space="preserve">P-102</t>
  </si>
  <si>
    <t xml:space="preserve">P-104</t>
  </si>
  <si>
    <t xml:space="preserve">P-106</t>
  </si>
  <si>
    <t xml:space="preserve">P-107</t>
  </si>
  <si>
    <t xml:space="preserve">P-109</t>
  </si>
  <si>
    <t xml:space="preserve">P-113</t>
  </si>
  <si>
    <t xml:space="preserve">P-117</t>
  </si>
  <si>
    <t xml:space="preserve">P-118</t>
  </si>
  <si>
    <t xml:space="preserve">P-121</t>
  </si>
  <si>
    <t xml:space="preserve">P-123</t>
  </si>
  <si>
    <t xml:space="preserve">P-124</t>
  </si>
  <si>
    <t xml:space="preserve">P-125</t>
  </si>
  <si>
    <t xml:space="preserve">P-127</t>
  </si>
  <si>
    <t xml:space="preserve">P-128</t>
  </si>
  <si>
    <t xml:space="preserve">P-129</t>
  </si>
  <si>
    <t xml:space="preserve">P-131</t>
  </si>
  <si>
    <t xml:space="preserve">P-132</t>
  </si>
  <si>
    <t xml:space="preserve">P-133</t>
  </si>
  <si>
    <t xml:space="preserve">P-135</t>
  </si>
  <si>
    <t xml:space="preserve">P-136</t>
  </si>
  <si>
    <t xml:space="preserve">P-137</t>
  </si>
  <si>
    <t xml:space="preserve">P-139</t>
  </si>
  <si>
    <t xml:space="preserve">P-140</t>
  </si>
  <si>
    <t xml:space="preserve">P-141</t>
  </si>
  <si>
    <t xml:space="preserve">P-142</t>
  </si>
  <si>
    <t xml:space="preserve">P-143</t>
  </si>
  <si>
    <t xml:space="preserve">P-147</t>
  </si>
  <si>
    <t xml:space="preserve">P-148</t>
  </si>
  <si>
    <t xml:space="preserve">P-150</t>
  </si>
  <si>
    <t xml:space="preserve">P-153</t>
  </si>
  <si>
    <t xml:space="preserve">P-154</t>
  </si>
  <si>
    <t xml:space="preserve">P-155</t>
  </si>
  <si>
    <t xml:space="preserve">P-156</t>
  </si>
  <si>
    <t xml:space="preserve">P-170</t>
  </si>
  <si>
    <t xml:space="preserve">P-176</t>
  </si>
  <si>
    <t xml:space="preserve">P-177</t>
  </si>
  <si>
    <t xml:space="preserve">P-178</t>
  </si>
  <si>
    <t xml:space="preserve">S-105</t>
  </si>
  <si>
    <t xml:space="preserve">S-107</t>
  </si>
  <si>
    <t xml:space="preserve">S-108</t>
  </si>
  <si>
    <t xml:space="preserve">S-110</t>
  </si>
  <si>
    <t xml:space="preserve">S-111</t>
  </si>
  <si>
    <t xml:space="preserve">S-113</t>
  </si>
  <si>
    <t xml:space="preserve">S-114</t>
  </si>
  <si>
    <t xml:space="preserve">S-115</t>
  </si>
  <si>
    <t xml:space="preserve">S-117</t>
  </si>
  <si>
    <t xml:space="preserve">S-118</t>
  </si>
  <si>
    <t xml:space="preserve">S-119</t>
  </si>
  <si>
    <t xml:space="preserve">S-120</t>
  </si>
  <si>
    <t xml:space="preserve">S-121</t>
  </si>
  <si>
    <t xml:space="preserve">S-122</t>
  </si>
  <si>
    <t xml:space="preserve">S-124</t>
  </si>
  <si>
    <t xml:space="preserve">S-126</t>
  </si>
  <si>
    <t xml:space="preserve">S-127</t>
  </si>
  <si>
    <t xml:space="preserve">S-128</t>
  </si>
  <si>
    <t xml:space="preserve">S-129</t>
  </si>
  <si>
    <t xml:space="preserve">S-130</t>
  </si>
  <si>
    <t xml:space="preserve">S-131</t>
  </si>
  <si>
    <t xml:space="preserve">S-132</t>
  </si>
  <si>
    <t xml:space="preserve">S.NO</t>
  </si>
  <si>
    <t xml:space="preserve">Item Name</t>
  </si>
  <si>
    <t xml:space="preserve">Item Group</t>
  </si>
  <si>
    <t xml:space="preserve">Warehouse</t>
  </si>
  <si>
    <t xml:space="preserve">Balance Qty</t>
  </si>
  <si>
    <t xml:space="preserve">UOM Name</t>
  </si>
  <si>
    <t xml:space="preserve">Products</t>
  </si>
  <si>
    <t xml:space="preserve">FG_NGP01 Handloom Experience Centre - YMPL</t>
  </si>
  <si>
    <t xml:space="preserve">Meter</t>
  </si>
  <si>
    <t xml:space="preserve">Branch</t>
  </si>
  <si>
    <t xml:space="preserve">Color Code</t>
  </si>
  <si>
    <t xml:space="preserve">S-80</t>
  </si>
  <si>
    <t xml:space="preserve">S-90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</si>
  <si>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</si>
  <si>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</si>
  <si>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</si>
  <si>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</si>
  <si>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</si>
  <si>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Total</t>
  </si>
  <si>
    <t xml:space="preserve">Maroon</t>
  </si>
  <si>
    <t xml:space="preserve">Purple</t>
  </si>
  <si>
    <t xml:space="preserve">Green</t>
  </si>
  <si>
    <t xml:space="preserve">CODE</t>
  </si>
  <si>
    <t xml:space="preserve">White-Black-Yellow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</si>
</sst>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General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0"/>
      <color rgb="FF000000"/>
      <name val="Trebuchet MS"/>
      <family val="2"/>
      <charset val="1"/>
    </font>
    <font>
      <sz val="11"/>
      <color rgb="FF000000"/>
      <name val="Trebuchet MS"/>
      <family val="2"/>
      <charset val="1"/>
    </font>
    <font>
      <sz val="10"/>
      <name val="Trebuchet MS"/>
      <family val="2"/>
      <charset val="1"/>
    </font>
    <font>
      <sz val="11"/>
      <name val="Trebuchet M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1E5F5"/>
      </patternFill>
    </fill>
    <fill>
      <patternFill patternType="solid">
        <fgColor rgb="FFC1E5F5"/>
        <bgColor rgb="FFD9D9D9"/>
      </patternFill>
    </fill>
    <fill>
      <patternFill patternType="solid">
        <fgColor rgb="FFFFFFFF"/>
        <bgColor rgb="FFFBE3D6"/>
      </patternFill>
    </fill>
    <fill>
      <patternFill patternType="solid">
        <fgColor rgb="FFFBE3D6"/>
        <bgColor rgb="FFD9D9D9"/>
      </patternFill>
    </fill>
    <fill>
      <patternFill patternType="solid">
        <fgColor rgb="FFBFBFBF"/>
        <bgColor rgb="FFD9D9D9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thin">
        <color rgb="FF46B1E1"/>
      </top>
      <bottom style="thin">
        <color rgb="FF46B1E1"/>
      </bottom>
      <diagonal/>
    </border>
    <border diagonalUp="false" diagonalDown="false">
      <left style="thin"/>
      <right style="thin"/>
      <top style="thin"/>
      <bottom style="thin">
        <color rgb="FF46B1E1"/>
      </bottom>
      <diagonal/>
    </border>
    <border diagonalUp="false" diagonalDown="false">
      <left/>
      <right style="thin"/>
      <top style="thin">
        <color rgb="FF46B1E1"/>
      </top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3D6"/>
      <rgbColor rgb="FFC1E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25920</xdr:colOff>
      <xdr:row>16</xdr:row>
      <xdr:rowOff>101880</xdr:rowOff>
    </xdr:from>
    <xdr:to>
      <xdr:col>17</xdr:col>
      <xdr:colOff>546120</xdr:colOff>
      <xdr:row>25</xdr:row>
      <xdr:rowOff>114120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1080440" y="3149640"/>
          <a:ext cx="4788720" cy="17269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99" createdVersion="3">
  <cacheSource type="worksheet">
    <worksheetSource ref="A1:J400" sheet="Consolidated"/>
  </cacheSource>
  <cacheFields count="10">
    <cacheField name="SNO" numFmtId="0">
      <sharedItems containsSemiMixedTypes="0" containsString="0" containsNumber="1" containsInteger="1" minValue="1" maxValue="399" count="3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</sharedItems>
    </cacheField>
    <cacheField name="Location" numFmtId="0">
      <sharedItems count="3">
        <s v="Chirala"/>
        <s v="Nagpur"/>
        <s v="Vijayawada"/>
      </sharedItems>
    </cacheField>
    <cacheField name="Item" numFmtId="0">
      <sharedItems count="6">
        <s v="Cloth"/>
        <s v="Flag"/>
        <s v="Saree"/>
        <s v="Shirts"/>
        <s v="T-Shirt"/>
        <s v="Yarn"/>
      </sharedItems>
    </cacheField>
    <cacheField name="Description" numFmtId="0">
      <sharedItems count="378">
        <s v="B.Tech"/>
        <s v="Bareen"/>
        <s v="Biscuit"/>
        <s v="Black"/>
        <s v="Blue"/>
        <s v="Bright Red"/>
        <s v="Brown"/>
        <s v="C-102-C"/>
        <s v="C-109FS"/>
        <s v="C-109HS"/>
        <s v="C-113FS"/>
        <s v="C-113HS"/>
        <s v="C-114FS"/>
        <s v="C-114HS"/>
        <s v="C-115FS"/>
        <s v="C-115HS"/>
        <s v="C-117FS"/>
        <s v="C-117HS"/>
        <s v="C-118-C"/>
        <s v="C-118FS"/>
        <s v="C-118HS"/>
        <s v="C-119FS"/>
        <s v="C-119HS"/>
        <s v="C-121FS"/>
        <s v="C-121HS"/>
        <s v="C-123-C"/>
        <s v="C-123FS"/>
        <s v="C-123HS"/>
        <s v="C-124FS"/>
        <s v="C-124HS"/>
        <s v="C-125-C"/>
        <s v="C-126-C"/>
        <s v="C-127-C"/>
        <s v="C-128-C"/>
        <s v="C-129-C"/>
        <s v="C-130-C"/>
        <s v="C-131-C"/>
        <s v="C-132-C"/>
        <s v="C-133-C"/>
        <s v="C-134-C"/>
        <s v="C-135-C"/>
        <s v="C-136-C"/>
        <s v="C-137-C"/>
        <s v="Checks C 112"/>
        <s v="Checks C 114"/>
        <s v="Checks C 116"/>
        <s v="Checks C 117"/>
        <s v="Checks C 118"/>
        <s v="Checks C 119"/>
        <s v="Checks C 120"/>
        <s v="Checks C 123"/>
        <s v="Checks C 124"/>
        <s v="Cream Biscuit"/>
        <s v="Dark Blue"/>
        <s v="Dark Green"/>
        <s v="Dark Lemon"/>
        <s v="Dark Red(Kumkuma)"/>
        <s v="Dark Syb Blue"/>
        <s v="Degree"/>
        <s v="Diploma"/>
        <s v="Ganga Jamuna"/>
        <s v="Grey"/>
        <s v="Half White"/>
        <s v="Ink Blue"/>
        <s v="Intermediate"/>
        <s v="Kanakjambaram"/>
        <s v="Karikam"/>
        <s v="Komali"/>
        <s v="Large"/>
        <s v="Lemon"/>
        <s v="Light Aloevera Green"/>
        <s v="Light Bareen"/>
        <s v="Light Biscuit"/>
        <s v="Light Green"/>
        <s v="Light Ocean Green"/>
        <s v="Light Pink"/>
        <s v="Light violet"/>
        <s v="Local Khadi"/>
        <s v="Manohara"/>
        <s v="Medium"/>
        <s v="Nagpur Yarn"/>
        <s v="Nalla Kempu"/>
        <s v="Orange"/>
        <s v="P-101-C"/>
        <s v="P-102FS"/>
        <s v="P-102HS"/>
        <s v="P-106-C"/>
        <s v="P-106FS"/>
        <s v="P-106HS"/>
        <s v="P-107FS"/>
        <s v="P-107HS"/>
        <s v="P-109-C"/>
        <s v="P-109FS"/>
        <s v="P-109HS"/>
        <s v="P-113FS"/>
        <s v="P-113HS"/>
        <s v="P-117FS"/>
        <s v="P-117HS"/>
        <s v="P-118FS"/>
        <s v="P-118HS"/>
        <s v="P-119-C"/>
        <s v="P-121FS"/>
        <s v="P-121HS"/>
        <s v="P-123FS"/>
        <s v="P-123HS"/>
        <s v="P-124-C"/>
        <s v="P-124FS"/>
        <s v="P-124HS"/>
        <s v="P-125FS"/>
        <s v="P-125HS"/>
        <s v="P-127-C"/>
        <s v="P-127FS"/>
        <s v="P-127HS"/>
        <s v="P-128FS"/>
        <s v="P-128HS"/>
        <s v="P-129FS"/>
        <s v="P-129HS"/>
        <s v="P-130-C"/>
        <s v="P-131-C"/>
        <s v="P-131FS"/>
        <s v="P-131HS"/>
        <s v="P-132-C"/>
        <s v="P-132FS"/>
        <s v="P-132HS"/>
        <s v="P-133-C"/>
        <s v="P-133FS"/>
        <s v="P-133HS"/>
        <s v="P-134-C"/>
        <s v="P-135-C"/>
        <s v="P-135FS"/>
        <s v="P-135HS"/>
        <s v="P-136FS"/>
        <s v="P-136HS"/>
        <s v="P-137-C"/>
        <s v="P-137FS"/>
        <s v="P-137HS"/>
        <s v="P-139-C"/>
        <s v="P-139FS"/>
        <s v="P-139HS"/>
        <s v="P-140-C"/>
        <s v="P-140FS"/>
        <s v="P-140HS"/>
        <s v="P-141-C"/>
        <s v="P-141FS"/>
        <s v="P-141HS"/>
        <s v="P-142-C"/>
        <s v="P-142FS"/>
        <s v="P-142HS"/>
        <s v="P-143-C"/>
        <s v="P-143FS"/>
        <s v="P-143HS"/>
        <s v="P-144-C"/>
        <s v="P-145-C"/>
        <s v="P-146-C"/>
        <s v="P-147-C"/>
        <s v="P-147FS"/>
        <s v="P-147HS"/>
        <s v="P-148-C"/>
        <s v="P-148FS"/>
        <s v="P-148HS"/>
        <s v="P-149-C"/>
        <s v="P-150-C"/>
        <s v="P-150FS"/>
        <s v="P-150HS"/>
        <s v="P-152-C"/>
        <s v="P-153FS"/>
        <s v="P-153HS"/>
        <s v="P-154FS"/>
        <s v="P-154HS"/>
        <s v="P-155FS"/>
        <s v="P-155HS"/>
        <s v="P-156FS"/>
        <s v="P-156HS"/>
        <s v="P-157-C"/>
        <s v="P-158-C"/>
        <s v="P-159-C"/>
        <s v="P-160-C"/>
        <s v="P-161-C"/>
        <s v="P-162-C"/>
        <s v="P-163-C"/>
        <s v="P-164-C"/>
        <s v="P-165-C"/>
        <s v="P-167-C"/>
        <s v="P-168-C"/>
        <s v="P-169-C"/>
        <s v="P-170-C"/>
        <s v="P-170FS"/>
        <s v="P-170HS"/>
        <s v="P-171-C"/>
        <s v="P-172-C"/>
        <s v="P-173-C"/>
        <s v="P-174-C"/>
        <s v="P-175-C"/>
        <s v="P-176FS"/>
        <s v="P-176HS"/>
        <s v="P-177-C"/>
        <s v="P-177FS"/>
        <s v="P-177HS"/>
        <s v="P-178-C"/>
        <s v="P-178FS"/>
        <s v="P-178HS"/>
        <s v="P-179-C"/>
        <s v="P-180-C"/>
        <s v="P-182-C"/>
        <s v="P-183-C"/>
        <s v="Pachi Mamidi"/>
        <s v="PG"/>
        <s v="Plain P 104"/>
        <s v="Plain P 106"/>
        <s v="Plain P 107"/>
        <s v="Plain P 109 "/>
        <s v="Plain P 114"/>
        <s v="Plain P 116"/>
        <s v="Plain P 118"/>
        <s v="Plain P 122"/>
        <s v="Plain P 123"/>
        <s v="Plain P 125"/>
        <s v="Plain P 127"/>
        <s v="Plain P 128"/>
        <s v="Plain P 129"/>
        <s v="Rani"/>
        <s v="Red"/>
        <s v="Red Brown"/>
        <s v="Red White"/>
        <s v="S-105FS"/>
        <s v="S-105HS"/>
        <s v="S-107FS"/>
        <s v="S-107HS"/>
        <s v="S-108FS"/>
        <s v="S-108HS"/>
        <s v="S-110-C"/>
        <s v="S-110FS"/>
        <s v="S-110HS"/>
        <s v="S-111FS"/>
        <s v="S-111HS"/>
        <s v="S-113FS"/>
        <s v="S-113HS"/>
        <s v="S-114FS"/>
        <s v="S-114HS"/>
        <s v="S-115FS"/>
        <s v="S-115HS"/>
        <s v="S-117FS"/>
        <s v="S-117HS"/>
        <s v="S-118FS"/>
        <s v="S-118HS"/>
        <s v="S-119-C"/>
        <s v="S-119FS"/>
        <s v="S-119HS"/>
        <s v="S-120FS"/>
        <s v="S-120HS"/>
        <s v="S-121-C"/>
        <s v="S-121FS"/>
        <s v="S-121HS"/>
        <s v="S-122-C"/>
        <s v="S-122FS"/>
        <s v="S-122HS"/>
        <s v="S-123-C"/>
        <s v="S-124-C"/>
        <s v="S-124FS"/>
        <s v="S-124HS"/>
        <s v="S-126FS"/>
        <s v="S-126HS"/>
        <s v="S-127FS"/>
        <s v="S-127HS"/>
        <s v="S-128-C"/>
        <s v="S-128FS"/>
        <s v="S-128HS"/>
        <s v="S-129-C"/>
        <s v="S-129FS"/>
        <s v="S-129HS"/>
        <s v="S-130FS"/>
        <s v="S-130HS"/>
        <s v="S-131FS"/>
        <s v="S-131HS"/>
        <s v="S-132FS"/>
        <s v="S-132HS"/>
        <s v="S-133-C"/>
        <s v="S-134-C"/>
        <s v="S-135-C"/>
        <s v="S-136-C"/>
        <s v="S-137-C"/>
        <s v="S-138-C"/>
        <s v="S-139-C"/>
        <s v="SACWBY"/>
        <s v="Shirt C101-L-FSL"/>
        <s v="Shirt C101-L-HSL"/>
        <s v="Shirt C104-L-HSL"/>
        <s v="Shirt C107-L-HSL"/>
        <s v="Shirt C109-L-FSL"/>
        <s v="Shirt C109-L-HSL"/>
        <s v="Shirt C109-M-FSL"/>
        <s v="Shirt C109-M-HSL"/>
        <s v="Shirt C111-L-FSL"/>
        <s v="Shirt C112-L-FSL"/>
        <s v="Shirt C112-L-HSL"/>
        <s v="Shirt C113-L-FSL"/>
        <s v="Shirt C113-L-HSL"/>
        <s v="Shirt C114-L-FSL"/>
        <s v="Shirt C114-L-HSL"/>
        <s v="Shirt C115-L-FSL"/>
        <s v="Shirt C116-L-FSL"/>
        <s v="Shirt C116-L-HSL"/>
        <s v="Shirt C116-M-FSL"/>
        <s v="Shirt C117-L-FSL"/>
        <s v="Shirt C117-L-HSL"/>
        <s v="Shirt C117-M-FSL"/>
        <s v="Shirt C118-L-FSL"/>
        <s v="Shirt C118-L-HSL"/>
        <s v="Shirt C119-L-FSL"/>
        <s v="Shirt C119-L-HSL"/>
        <s v="Shirt C120-L-FSL"/>
        <s v="Shirt C121-L-HSL"/>
        <s v="Shirt C121-M-FSL"/>
        <s v="Shirt P101-L-FSL"/>
        <s v="Shirt P101-L-HSL"/>
        <s v="Shirt P101-M-FSL"/>
        <s v="Shirt P102-L-HSL"/>
        <s v="Shirt P102-M-FSL"/>
        <s v="Shirt P105-L-FSL"/>
        <s v="Shirt P105-M-FSL"/>
        <s v="Shirt P106-L-FSL"/>
        <s v="Shirt P106-L-HSL"/>
        <s v="Shirt P106-M-FSL"/>
        <s v="Shirt P107-L-FSL"/>
        <s v="Shirt P107-L-HSL"/>
        <s v="Shirt P107-M-FSL"/>
        <s v="Shirt P108-L-FSL"/>
        <s v="Shirt P109-M-FSL"/>
        <s v="Shirt P110-M-FSL"/>
        <s v="Shirt S101-L-FSL"/>
        <s v="Shirt S102-L-FSL"/>
        <s v="Shirt S104-L-FSL"/>
        <s v="Shirt S104-L-HSL"/>
        <s v="Shirt S104-M-FSL"/>
        <s v="Shirt S106-L-HSL"/>
        <s v="Shirt S106-M-FSL"/>
        <s v="Shirt S109-L-HSL"/>
        <s v="Shirt S109-M-FSL"/>
        <s v="Shirt S110-M-FSL"/>
        <s v="Shirt S111-M-FSL"/>
        <s v="Shirt S112-L-FSL"/>
        <s v="Shirt S112-M-FSL"/>
        <s v="Shirt S113-L-FSL"/>
        <s v="Shirt S114-L-FSL"/>
        <s v="Shirt S114-L-HSL"/>
        <s v="Shirt S115-L-HSL"/>
        <s v="Shirt S115-M-HSL"/>
        <s v="Shirt S116-L-HSL"/>
        <s v="Shirt S117-M-FSL"/>
        <s v="Shirt S120-L-FSL"/>
        <s v="Shirt S120-L-HSL"/>
        <s v="Shirt S120-M-FSL"/>
        <s v="Shirt S121-L-FSL"/>
        <s v="Shirt S121-L-HSL"/>
        <s v="Shirt S123-L-FSL"/>
        <s v="Shirt S125-L-FSL"/>
        <s v="Shirt S125-L-HSL"/>
        <s v="Shirt S129-L-HSL"/>
        <s v="Shirt S129-M-FSL"/>
        <s v="Silver Green"/>
        <s v="Small"/>
        <s v="Stripes S 108"/>
        <s v="Stripes S 110"/>
        <s v="Stripes S 111"/>
        <s v="Stripes S 112"/>
        <s v="Stripes S 113"/>
        <s v="Stripes S 115"/>
        <s v="Stripes S 116"/>
        <s v="Stripes S 117"/>
        <s v="Stripes S 120"/>
        <s v="Stripes S 121"/>
        <s v="Stripes S 128"/>
        <s v="Stripes S 129"/>
        <s v="Stripes S 132"/>
        <s v="Violet"/>
        <s v="White"/>
        <s v="White Green"/>
        <s v="Yellow"/>
      </sharedItems>
    </cacheField>
    <cacheField name="Unit" numFmtId="0">
      <sharedItems count="3">
        <s v="Kg"/>
        <s v="Metre"/>
        <s v="Nos"/>
      </sharedItems>
    </cacheField>
    <cacheField name="Quantity" numFmtId="0">
      <sharedItems containsSemiMixedTypes="0" containsString="0" containsNumber="1" minValue="0" maxValue="237" count="141">
        <n v="0"/>
        <n v="0.029"/>
        <n v="0.036"/>
        <n v="0.09"/>
        <n v="0.095"/>
        <n v="0.107"/>
        <n v="0.11"/>
        <n v="0.111"/>
        <n v="0.155"/>
        <n v="0.164"/>
        <n v="0.166"/>
        <n v="0.172"/>
        <n v="0.178"/>
        <n v="0.188"/>
        <n v="0.19"/>
        <n v="0.192"/>
        <n v="0.198"/>
        <n v="0.22"/>
        <n v="0.249"/>
        <n v="0.318"/>
        <n v="0.388"/>
        <n v="0.401"/>
        <n v="0.608"/>
        <n v="0.68"/>
        <n v="0.776"/>
        <n v="0.875"/>
        <n v="0.924"/>
        <n v="0.95"/>
        <n v="0.96"/>
        <n v="1"/>
        <n v="1.264"/>
        <n v="1.277"/>
        <n v="1.499"/>
        <n v="1.547"/>
        <n v="2"/>
        <n v="2.616"/>
        <n v="2.7"/>
        <n v="2.701"/>
        <n v="2.946"/>
        <n v="3"/>
        <n v="3.083"/>
        <n v="3.088"/>
        <n v="3.2"/>
        <n v="4"/>
        <n v="4.131"/>
        <n v="5"/>
        <n v="5.2"/>
        <n v="5.26"/>
        <n v="5.4"/>
        <n v="5.605"/>
        <n v="5.75"/>
        <n v="6"/>
        <n v="6.14"/>
        <n v="6.7"/>
        <n v="7"/>
        <n v="7.2"/>
        <n v="7.9"/>
        <n v="8"/>
        <n v="8.35"/>
        <n v="9"/>
        <n v="9.131"/>
        <n v="10"/>
        <n v="10.2"/>
        <n v="10.21"/>
        <n v="10.5"/>
        <n v="11"/>
        <n v="11.2"/>
        <n v="11.28"/>
        <n v="11.3"/>
        <n v="11.35"/>
        <n v="12"/>
        <n v="12.43"/>
        <n v="14"/>
        <n v="14.2"/>
        <n v="14.5"/>
        <n v="15"/>
        <n v="15.2"/>
        <n v="15.23"/>
        <n v="15.3"/>
        <n v="15.61"/>
        <n v="15.83"/>
        <n v="15.86"/>
        <n v="16"/>
        <n v="16.14"/>
        <n v="16.15"/>
        <n v="17"/>
        <n v="18"/>
        <n v="18.6"/>
        <n v="18.9"/>
        <n v="19.76"/>
        <n v="20.2"/>
        <n v="21.73"/>
        <n v="22"/>
        <n v="23"/>
        <n v="23.66"/>
        <n v="24.1"/>
        <n v="24.36"/>
        <n v="24.4"/>
        <n v="25.24"/>
        <n v="25.7"/>
        <n v="26"/>
        <n v="26.3"/>
        <n v="26.95"/>
        <n v="27"/>
        <n v="27.3"/>
        <n v="27.75"/>
        <n v="27.8"/>
        <n v="28"/>
        <n v="28.3"/>
        <n v="29.18"/>
        <n v="29.2"/>
        <n v="29.26"/>
        <n v="29.4"/>
        <n v="30"/>
        <n v="31.16"/>
        <n v="31.2"/>
        <n v="31.3"/>
        <n v="31.5"/>
        <n v="31.6"/>
        <n v="37"/>
        <n v="40.52"/>
        <n v="41"/>
        <n v="42.4"/>
        <n v="42.52"/>
        <n v="44.2"/>
        <n v="44.37"/>
        <n v="49"/>
        <n v="49.421"/>
        <n v="50.8"/>
        <n v="51"/>
        <n v="51.67"/>
        <n v="54.7"/>
        <n v="59"/>
        <n v="59.6"/>
        <n v="59.92"/>
        <n v="60.76"/>
        <n v="61.68"/>
        <n v="106.28"/>
        <n v="111.99"/>
        <n v="130.4"/>
        <n v="237"/>
      </sharedItems>
    </cacheField>
    <cacheField name="Unit Cost" numFmtId="0">
      <sharedItems containsSemiMixedTypes="0" containsString="0" containsNumber="1" minValue="273" maxValue="2037" count="15">
        <n v="273"/>
        <n v="304.5"/>
        <n v="311.85"/>
        <n v="320.25"/>
        <n v="339.130434782609"/>
        <n v="652.173913043478"/>
        <n v="667"/>
        <n v="873.6"/>
        <n v="888.3"/>
        <n v="905.1"/>
        <n v="949.725"/>
        <n v="966.2625"/>
        <n v="985.1625"/>
        <n v="1347.82608695652"/>
        <n v="2037"/>
      </sharedItems>
    </cacheField>
    <cacheField name="Total Cost" numFmtId="0">
      <sharedItems containsSemiMixedTypes="0" containsString="0" containsNumber="1" minValue="0" maxValue="80373.9130434783" count="182">
        <n v="0"/>
        <n v="19.343"/>
        <n v="24.012"/>
        <n v="60.03"/>
        <n v="63.365"/>
        <n v="71.369"/>
        <n v="73.37"/>
        <n v="74.037"/>
        <n v="103.385"/>
        <n v="109.388"/>
        <n v="110.722"/>
        <n v="114.724"/>
        <n v="118.726"/>
        <n v="125.396"/>
        <n v="126.73"/>
        <n v="128.064"/>
        <n v="132.066"/>
        <n v="146.74"/>
        <n v="166.083"/>
        <n v="212.106"/>
        <n v="258.796"/>
        <n v="267.467"/>
        <n v="405.536"/>
        <n v="453.56"/>
        <n v="517.592"/>
        <n v="583.625"/>
        <n v="609"/>
        <n v="616.308"/>
        <n v="633.65"/>
        <n v="640.32"/>
        <n v="843.088"/>
        <n v="851.759"/>
        <n v="864.675"/>
        <n v="873.6"/>
        <n v="888.3"/>
        <n v="905.1"/>
        <n v="949.725"/>
        <n v="966.2625"/>
        <n v="974.4"/>
        <n v="985.1625"/>
        <n v="999.833"/>
        <n v="1031.849"/>
        <n v="1522.5"/>
        <n v="1583.4"/>
        <n v="1638"/>
        <n v="1640.331"/>
        <n v="1644.3"/>
        <n v="1744.872"/>
        <n v="1747.2"/>
        <n v="1776.6"/>
        <n v="1801.567"/>
        <n v="1810.2"/>
        <n v="1827"/>
        <n v="1841.4375"/>
        <n v="1899.45"/>
        <n v="1914.759"/>
        <n v="1932.525"/>
        <n v="1964.982"/>
        <n v="1970.325"/>
        <n v="2040.15"/>
        <n v="2056.361"/>
        <n v="2059.696"/>
        <n v="2131.5"/>
        <n v="2192.4"/>
        <n v="2405.55"/>
        <n v="2457"/>
        <n v="2494.8"/>
        <n v="2562"/>
        <n v="2620.8"/>
        <n v="2664.9"/>
        <n v="2715.3"/>
        <n v="2755.377"/>
        <n v="2849.175"/>
        <n v="2882.25"/>
        <n v="2898.7875"/>
        <n v="2955.4875"/>
        <n v="3045"/>
        <n v="3105.9"/>
        <n v="3108.945"/>
        <n v="3349.5"/>
        <n v="3362.625"/>
        <n v="3410.4"/>
        <n v="3434.76"/>
        <n v="3440.85"/>
        <n v="3494.4"/>
        <n v="3553.2"/>
        <n v="3634.8375"/>
        <n v="3738.535"/>
        <n v="3742.2"/>
        <n v="3798.9"/>
        <n v="3865.05"/>
        <n v="3876.2955"/>
        <n v="4263"/>
        <n v="4365.9"/>
        <n v="4368"/>
        <n v="4415.25"/>
        <n v="4428.27"/>
        <n v="4521.825"/>
        <n v="4567.5"/>
        <n v="4637.535"/>
        <n v="4641"/>
        <n v="4677.75"/>
        <n v="4740.12"/>
        <n v="4748.625"/>
        <n v="4753.245"/>
        <n v="4771.305"/>
        <n v="4803.75"/>
        <n v="4829.37"/>
        <n v="4867.8"/>
        <n v="4872"/>
        <n v="4917.675"/>
        <n v="4925.8125"/>
        <n v="4989.6"/>
        <n v="5069.5575"/>
        <n v="5124"/>
        <n v="5168.835"/>
        <n v="5176.5"/>
        <n v="5391.30434782609"/>
        <n v="5481"/>
        <n v="5569.45"/>
        <n v="5663.7"/>
        <n v="5698.35"/>
        <n v="5755.05"/>
        <n v="5764.5"/>
        <n v="6090.377"/>
        <n v="6115.2"/>
        <n v="6150.9"/>
        <n v="6162.156"/>
        <n v="6521.73913043478"/>
        <n v="6776.5005"/>
        <n v="6860.7"/>
        <n v="7003.5"/>
        <n v="7204.47"/>
        <n v="7417.62"/>
        <n v="7429.8"/>
        <n v="7644"/>
        <n v="7685.58"/>
        <n v="7718.025"/>
        <n v="7917"/>
        <n v="8014.545"/>
        <n v="8206.275"/>
        <n v="8221.5"/>
        <n v="8312.85"/>
        <n v="8422.575"/>
        <n v="8449.875"/>
        <n v="8669.43"/>
        <n v="8891.4"/>
        <n v="8952.3"/>
        <n v="9063.075"/>
        <n v="9099.783"/>
        <n v="9124.731"/>
        <n v="9591.75"/>
        <n v="9607.5"/>
        <n v="9622.2"/>
        <n v="9978.99"/>
        <n v="9991.8"/>
        <n v="10023.825"/>
        <n v="10101"/>
        <n v="12338.34"/>
        <n v="12484.5"/>
        <n v="12910.8"/>
        <n v="12947.34"/>
        <n v="13458.9"/>
        <n v="13510.665"/>
        <n v="15000"/>
        <n v="15529.5"/>
        <n v="15841.98"/>
        <n v="16547.3175"/>
        <n v="16617.3913043478"/>
        <n v="16656.15"/>
        <n v="17965.5"/>
        <n v="18148.2"/>
        <n v="18245.64"/>
        <n v="18501.42"/>
        <n v="19234.908"/>
        <n v="28518"/>
        <n v="32963.807"/>
        <n v="33143.418"/>
        <n v="34100.955"/>
        <n v="35043.4782608696"/>
        <n v="40665.24"/>
        <n v="80373.9130434783"/>
      </sharedItems>
    </cacheField>
    <cacheField name="Remarks" numFmtId="0">
      <sharedItems containsBlank="1" count="5">
        <s v="Checks"/>
        <s v="Checks "/>
        <s v="Plain"/>
        <s v="Stripes"/>
        <m/>
      </sharedItems>
    </cacheField>
    <cacheField name="Remarks 2" numFmtId="0">
      <sharedItems containsBlank="1" count="3">
        <s v="Loom"/>
        <s v="Pant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9">
  <r>
    <x v="0"/>
    <x v="0"/>
    <x v="5"/>
    <x v="375"/>
    <x v="0"/>
    <x v="127"/>
    <x v="6"/>
    <x v="176"/>
    <x v="4"/>
    <x v="2"/>
  </r>
  <r>
    <x v="1"/>
    <x v="0"/>
    <x v="5"/>
    <x v="69"/>
    <x v="0"/>
    <x v="37"/>
    <x v="6"/>
    <x v="50"/>
    <x v="4"/>
    <x v="2"/>
  </r>
  <r>
    <x v="2"/>
    <x v="0"/>
    <x v="5"/>
    <x v="66"/>
    <x v="0"/>
    <x v="26"/>
    <x v="6"/>
    <x v="27"/>
    <x v="4"/>
    <x v="2"/>
  </r>
  <r>
    <x v="3"/>
    <x v="0"/>
    <x v="5"/>
    <x v="3"/>
    <x v="0"/>
    <x v="35"/>
    <x v="6"/>
    <x v="47"/>
    <x v="4"/>
    <x v="2"/>
  </r>
  <r>
    <x v="4"/>
    <x v="0"/>
    <x v="5"/>
    <x v="221"/>
    <x v="0"/>
    <x v="49"/>
    <x v="6"/>
    <x v="87"/>
    <x v="4"/>
    <x v="2"/>
  </r>
  <r>
    <x v="5"/>
    <x v="0"/>
    <x v="5"/>
    <x v="82"/>
    <x v="0"/>
    <x v="30"/>
    <x v="6"/>
    <x v="30"/>
    <x v="4"/>
    <x v="2"/>
  </r>
  <r>
    <x v="6"/>
    <x v="0"/>
    <x v="5"/>
    <x v="54"/>
    <x v="0"/>
    <x v="23"/>
    <x v="6"/>
    <x v="23"/>
    <x v="4"/>
    <x v="2"/>
  </r>
  <r>
    <x v="7"/>
    <x v="0"/>
    <x v="5"/>
    <x v="5"/>
    <x v="0"/>
    <x v="41"/>
    <x v="6"/>
    <x v="61"/>
    <x v="4"/>
    <x v="2"/>
  </r>
  <r>
    <x v="8"/>
    <x v="0"/>
    <x v="5"/>
    <x v="63"/>
    <x v="0"/>
    <x v="44"/>
    <x v="6"/>
    <x v="71"/>
    <x v="4"/>
    <x v="2"/>
  </r>
  <r>
    <x v="9"/>
    <x v="0"/>
    <x v="5"/>
    <x v="4"/>
    <x v="0"/>
    <x v="25"/>
    <x v="6"/>
    <x v="25"/>
    <x v="4"/>
    <x v="2"/>
  </r>
  <r>
    <x v="10"/>
    <x v="0"/>
    <x v="5"/>
    <x v="222"/>
    <x v="0"/>
    <x v="18"/>
    <x v="6"/>
    <x v="18"/>
    <x v="4"/>
    <x v="2"/>
  </r>
  <r>
    <x v="11"/>
    <x v="0"/>
    <x v="5"/>
    <x v="220"/>
    <x v="0"/>
    <x v="13"/>
    <x v="6"/>
    <x v="13"/>
    <x v="4"/>
    <x v="2"/>
  </r>
  <r>
    <x v="12"/>
    <x v="0"/>
    <x v="5"/>
    <x v="6"/>
    <x v="0"/>
    <x v="7"/>
    <x v="6"/>
    <x v="7"/>
    <x v="4"/>
    <x v="2"/>
  </r>
  <r>
    <x v="13"/>
    <x v="0"/>
    <x v="5"/>
    <x v="67"/>
    <x v="0"/>
    <x v="17"/>
    <x v="6"/>
    <x v="17"/>
    <x v="4"/>
    <x v="2"/>
  </r>
  <r>
    <x v="14"/>
    <x v="0"/>
    <x v="5"/>
    <x v="205"/>
    <x v="0"/>
    <x v="9"/>
    <x v="6"/>
    <x v="9"/>
    <x v="4"/>
    <x v="2"/>
  </r>
  <r>
    <x v="15"/>
    <x v="0"/>
    <x v="5"/>
    <x v="54"/>
    <x v="0"/>
    <x v="8"/>
    <x v="6"/>
    <x v="8"/>
    <x v="4"/>
    <x v="2"/>
  </r>
  <r>
    <x v="16"/>
    <x v="0"/>
    <x v="5"/>
    <x v="70"/>
    <x v="0"/>
    <x v="12"/>
    <x v="6"/>
    <x v="12"/>
    <x v="4"/>
    <x v="2"/>
  </r>
  <r>
    <x v="17"/>
    <x v="0"/>
    <x v="5"/>
    <x v="2"/>
    <x v="0"/>
    <x v="11"/>
    <x v="6"/>
    <x v="11"/>
    <x v="4"/>
    <x v="2"/>
  </r>
  <r>
    <x v="18"/>
    <x v="0"/>
    <x v="5"/>
    <x v="359"/>
    <x v="0"/>
    <x v="14"/>
    <x v="6"/>
    <x v="14"/>
    <x v="4"/>
    <x v="2"/>
  </r>
  <r>
    <x v="19"/>
    <x v="0"/>
    <x v="5"/>
    <x v="78"/>
    <x v="0"/>
    <x v="24"/>
    <x v="6"/>
    <x v="24"/>
    <x v="4"/>
    <x v="2"/>
  </r>
  <r>
    <x v="20"/>
    <x v="0"/>
    <x v="5"/>
    <x v="77"/>
    <x v="0"/>
    <x v="15"/>
    <x v="6"/>
    <x v="15"/>
    <x v="4"/>
    <x v="2"/>
  </r>
  <r>
    <x v="21"/>
    <x v="0"/>
    <x v="5"/>
    <x v="60"/>
    <x v="0"/>
    <x v="16"/>
    <x v="6"/>
    <x v="16"/>
    <x v="4"/>
    <x v="2"/>
  </r>
  <r>
    <x v="22"/>
    <x v="0"/>
    <x v="5"/>
    <x v="57"/>
    <x v="0"/>
    <x v="31"/>
    <x v="6"/>
    <x v="31"/>
    <x v="4"/>
    <x v="2"/>
  </r>
  <r>
    <x v="23"/>
    <x v="0"/>
    <x v="5"/>
    <x v="74"/>
    <x v="0"/>
    <x v="6"/>
    <x v="6"/>
    <x v="6"/>
    <x v="4"/>
    <x v="2"/>
  </r>
  <r>
    <x v="24"/>
    <x v="0"/>
    <x v="5"/>
    <x v="55"/>
    <x v="0"/>
    <x v="10"/>
    <x v="6"/>
    <x v="10"/>
    <x v="4"/>
    <x v="2"/>
  </r>
  <r>
    <x v="25"/>
    <x v="0"/>
    <x v="5"/>
    <x v="81"/>
    <x v="0"/>
    <x v="21"/>
    <x v="6"/>
    <x v="21"/>
    <x v="4"/>
    <x v="2"/>
  </r>
  <r>
    <x v="26"/>
    <x v="0"/>
    <x v="5"/>
    <x v="61"/>
    <x v="0"/>
    <x v="40"/>
    <x v="6"/>
    <x v="60"/>
    <x v="4"/>
    <x v="2"/>
  </r>
  <r>
    <x v="27"/>
    <x v="0"/>
    <x v="5"/>
    <x v="52"/>
    <x v="0"/>
    <x v="38"/>
    <x v="6"/>
    <x v="57"/>
    <x v="4"/>
    <x v="2"/>
  </r>
  <r>
    <x v="28"/>
    <x v="0"/>
    <x v="5"/>
    <x v="374"/>
    <x v="0"/>
    <x v="60"/>
    <x v="6"/>
    <x v="124"/>
    <x v="4"/>
    <x v="2"/>
  </r>
  <r>
    <x v="29"/>
    <x v="0"/>
    <x v="5"/>
    <x v="75"/>
    <x v="0"/>
    <x v="28"/>
    <x v="6"/>
    <x v="29"/>
    <x v="4"/>
    <x v="2"/>
  </r>
  <r>
    <x v="30"/>
    <x v="0"/>
    <x v="5"/>
    <x v="223"/>
    <x v="0"/>
    <x v="32"/>
    <x v="6"/>
    <x v="40"/>
    <x v="4"/>
    <x v="2"/>
  </r>
  <r>
    <x v="31"/>
    <x v="0"/>
    <x v="5"/>
    <x v="53"/>
    <x v="0"/>
    <x v="20"/>
    <x v="6"/>
    <x v="20"/>
    <x v="4"/>
    <x v="2"/>
  </r>
  <r>
    <x v="32"/>
    <x v="0"/>
    <x v="5"/>
    <x v="377"/>
    <x v="0"/>
    <x v="3"/>
    <x v="6"/>
    <x v="3"/>
    <x v="4"/>
    <x v="2"/>
  </r>
  <r>
    <x v="33"/>
    <x v="0"/>
    <x v="5"/>
    <x v="376"/>
    <x v="0"/>
    <x v="33"/>
    <x v="6"/>
    <x v="41"/>
    <x v="4"/>
    <x v="2"/>
  </r>
  <r>
    <x v="34"/>
    <x v="0"/>
    <x v="5"/>
    <x v="72"/>
    <x v="0"/>
    <x v="22"/>
    <x v="6"/>
    <x v="22"/>
    <x v="4"/>
    <x v="2"/>
  </r>
  <r>
    <x v="35"/>
    <x v="0"/>
    <x v="5"/>
    <x v="73"/>
    <x v="0"/>
    <x v="27"/>
    <x v="6"/>
    <x v="28"/>
    <x v="4"/>
    <x v="2"/>
  </r>
  <r>
    <x v="36"/>
    <x v="0"/>
    <x v="5"/>
    <x v="1"/>
    <x v="0"/>
    <x v="19"/>
    <x v="6"/>
    <x v="19"/>
    <x v="4"/>
    <x v="2"/>
  </r>
  <r>
    <x v="37"/>
    <x v="0"/>
    <x v="5"/>
    <x v="71"/>
    <x v="0"/>
    <x v="4"/>
    <x v="6"/>
    <x v="4"/>
    <x v="4"/>
    <x v="2"/>
  </r>
  <r>
    <x v="38"/>
    <x v="0"/>
    <x v="5"/>
    <x v="56"/>
    <x v="0"/>
    <x v="5"/>
    <x v="6"/>
    <x v="5"/>
    <x v="4"/>
    <x v="2"/>
  </r>
  <r>
    <x v="39"/>
    <x v="0"/>
    <x v="5"/>
    <x v="76"/>
    <x v="0"/>
    <x v="2"/>
    <x v="6"/>
    <x v="2"/>
    <x v="4"/>
    <x v="2"/>
  </r>
  <r>
    <x v="40"/>
    <x v="0"/>
    <x v="5"/>
    <x v="65"/>
    <x v="0"/>
    <x v="1"/>
    <x v="6"/>
    <x v="1"/>
    <x v="4"/>
    <x v="2"/>
  </r>
  <r>
    <x v="41"/>
    <x v="0"/>
    <x v="5"/>
    <x v="80"/>
    <x v="0"/>
    <x v="58"/>
    <x v="6"/>
    <x v="119"/>
    <x v="4"/>
    <x v="2"/>
  </r>
  <r>
    <x v="42"/>
    <x v="0"/>
    <x v="0"/>
    <x v="7"/>
    <x v="1"/>
    <x v="64"/>
    <x v="3"/>
    <x v="80"/>
    <x v="0"/>
    <x v="2"/>
  </r>
  <r>
    <x v="43"/>
    <x v="0"/>
    <x v="0"/>
    <x v="18"/>
    <x v="1"/>
    <x v="130"/>
    <x v="3"/>
    <x v="167"/>
    <x v="0"/>
    <x v="2"/>
  </r>
  <r>
    <x v="44"/>
    <x v="0"/>
    <x v="0"/>
    <x v="25"/>
    <x v="1"/>
    <x v="36"/>
    <x v="3"/>
    <x v="32"/>
    <x v="0"/>
    <x v="2"/>
  </r>
  <r>
    <x v="45"/>
    <x v="0"/>
    <x v="0"/>
    <x v="30"/>
    <x v="1"/>
    <x v="108"/>
    <x v="3"/>
    <x v="148"/>
    <x v="0"/>
    <x v="2"/>
  </r>
  <r>
    <x v="46"/>
    <x v="0"/>
    <x v="0"/>
    <x v="31"/>
    <x v="1"/>
    <x v="95"/>
    <x v="3"/>
    <x v="137"/>
    <x v="0"/>
    <x v="2"/>
  </r>
  <r>
    <x v="47"/>
    <x v="0"/>
    <x v="0"/>
    <x v="32"/>
    <x v="1"/>
    <x v="101"/>
    <x v="3"/>
    <x v="143"/>
    <x v="0"/>
    <x v="2"/>
  </r>
  <r>
    <x v="48"/>
    <x v="0"/>
    <x v="0"/>
    <x v="33"/>
    <x v="1"/>
    <x v="116"/>
    <x v="3"/>
    <x v="156"/>
    <x v="0"/>
    <x v="2"/>
  </r>
  <r>
    <x v="49"/>
    <x v="0"/>
    <x v="0"/>
    <x v="34"/>
    <x v="1"/>
    <x v="115"/>
    <x v="3"/>
    <x v="155"/>
    <x v="0"/>
    <x v="2"/>
  </r>
  <r>
    <x v="50"/>
    <x v="0"/>
    <x v="0"/>
    <x v="35"/>
    <x v="1"/>
    <x v="86"/>
    <x v="3"/>
    <x v="123"/>
    <x v="0"/>
    <x v="2"/>
  </r>
  <r>
    <x v="51"/>
    <x v="0"/>
    <x v="0"/>
    <x v="36"/>
    <x v="1"/>
    <x v="114"/>
    <x v="3"/>
    <x v="154"/>
    <x v="0"/>
    <x v="2"/>
  </r>
  <r>
    <x v="52"/>
    <x v="0"/>
    <x v="0"/>
    <x v="37"/>
    <x v="1"/>
    <x v="80"/>
    <x v="3"/>
    <x v="113"/>
    <x v="0"/>
    <x v="2"/>
  </r>
  <r>
    <x v="53"/>
    <x v="0"/>
    <x v="0"/>
    <x v="38"/>
    <x v="1"/>
    <x v="75"/>
    <x v="3"/>
    <x v="106"/>
    <x v="0"/>
    <x v="0"/>
  </r>
  <r>
    <x v="54"/>
    <x v="0"/>
    <x v="0"/>
    <x v="39"/>
    <x v="1"/>
    <x v="75"/>
    <x v="3"/>
    <x v="106"/>
    <x v="0"/>
    <x v="0"/>
  </r>
  <r>
    <x v="55"/>
    <x v="0"/>
    <x v="0"/>
    <x v="40"/>
    <x v="1"/>
    <x v="75"/>
    <x v="3"/>
    <x v="106"/>
    <x v="0"/>
    <x v="0"/>
  </r>
  <r>
    <x v="56"/>
    <x v="0"/>
    <x v="0"/>
    <x v="41"/>
    <x v="1"/>
    <x v="113"/>
    <x v="3"/>
    <x v="152"/>
    <x v="0"/>
    <x v="0"/>
  </r>
  <r>
    <x v="57"/>
    <x v="0"/>
    <x v="0"/>
    <x v="42"/>
    <x v="1"/>
    <x v="113"/>
    <x v="3"/>
    <x v="152"/>
    <x v="0"/>
    <x v="0"/>
  </r>
  <r>
    <x v="58"/>
    <x v="0"/>
    <x v="0"/>
    <x v="83"/>
    <x v="1"/>
    <x v="46"/>
    <x v="1"/>
    <x v="43"/>
    <x v="2"/>
    <x v="2"/>
  </r>
  <r>
    <x v="59"/>
    <x v="0"/>
    <x v="0"/>
    <x v="86"/>
    <x v="1"/>
    <x v="45"/>
    <x v="1"/>
    <x v="42"/>
    <x v="2"/>
    <x v="2"/>
  </r>
  <r>
    <x v="60"/>
    <x v="0"/>
    <x v="0"/>
    <x v="91"/>
    <x v="1"/>
    <x v="86"/>
    <x v="1"/>
    <x v="118"/>
    <x v="2"/>
    <x v="2"/>
  </r>
  <r>
    <x v="61"/>
    <x v="0"/>
    <x v="0"/>
    <x v="100"/>
    <x v="1"/>
    <x v="48"/>
    <x v="1"/>
    <x v="46"/>
    <x v="2"/>
    <x v="2"/>
  </r>
  <r>
    <x v="62"/>
    <x v="0"/>
    <x v="0"/>
    <x v="105"/>
    <x v="1"/>
    <x v="79"/>
    <x v="1"/>
    <x v="104"/>
    <x v="2"/>
    <x v="2"/>
  </r>
  <r>
    <x v="63"/>
    <x v="0"/>
    <x v="0"/>
    <x v="110"/>
    <x v="1"/>
    <x v="121"/>
    <x v="1"/>
    <x v="159"/>
    <x v="2"/>
    <x v="2"/>
  </r>
  <r>
    <x v="64"/>
    <x v="0"/>
    <x v="0"/>
    <x v="117"/>
    <x v="1"/>
    <x v="72"/>
    <x v="1"/>
    <x v="92"/>
    <x v="2"/>
    <x v="2"/>
  </r>
  <r>
    <x v="65"/>
    <x v="0"/>
    <x v="0"/>
    <x v="118"/>
    <x v="1"/>
    <x v="53"/>
    <x v="1"/>
    <x v="59"/>
    <x v="2"/>
    <x v="2"/>
  </r>
  <r>
    <x v="66"/>
    <x v="0"/>
    <x v="0"/>
    <x v="121"/>
    <x v="1"/>
    <x v="75"/>
    <x v="1"/>
    <x v="98"/>
    <x v="2"/>
    <x v="2"/>
  </r>
  <r>
    <x v="67"/>
    <x v="0"/>
    <x v="0"/>
    <x v="124"/>
    <x v="1"/>
    <x v="123"/>
    <x v="1"/>
    <x v="161"/>
    <x v="2"/>
    <x v="2"/>
  </r>
  <r>
    <x v="68"/>
    <x v="0"/>
    <x v="0"/>
    <x v="127"/>
    <x v="1"/>
    <x v="54"/>
    <x v="1"/>
    <x v="62"/>
    <x v="2"/>
    <x v="2"/>
  </r>
  <r>
    <x v="69"/>
    <x v="0"/>
    <x v="0"/>
    <x v="128"/>
    <x v="1"/>
    <x v="133"/>
    <x v="1"/>
    <x v="171"/>
    <x v="2"/>
    <x v="2"/>
  </r>
  <r>
    <x v="70"/>
    <x v="0"/>
    <x v="0"/>
    <x v="133"/>
    <x v="1"/>
    <x v="45"/>
    <x v="1"/>
    <x v="42"/>
    <x v="2"/>
    <x v="2"/>
  </r>
  <r>
    <x v="71"/>
    <x v="0"/>
    <x v="0"/>
    <x v="136"/>
    <x v="1"/>
    <x v="75"/>
    <x v="1"/>
    <x v="98"/>
    <x v="2"/>
    <x v="2"/>
  </r>
  <r>
    <x v="72"/>
    <x v="0"/>
    <x v="0"/>
    <x v="139"/>
    <x v="1"/>
    <x v="51"/>
    <x v="1"/>
    <x v="52"/>
    <x v="2"/>
    <x v="2"/>
  </r>
  <r>
    <x v="73"/>
    <x v="0"/>
    <x v="0"/>
    <x v="142"/>
    <x v="1"/>
    <x v="94"/>
    <x v="1"/>
    <x v="132"/>
    <x v="2"/>
    <x v="2"/>
  </r>
  <r>
    <x v="74"/>
    <x v="0"/>
    <x v="0"/>
    <x v="145"/>
    <x v="1"/>
    <x v="90"/>
    <x v="1"/>
    <x v="126"/>
    <x v="2"/>
    <x v="2"/>
  </r>
  <r>
    <x v="75"/>
    <x v="0"/>
    <x v="0"/>
    <x v="148"/>
    <x v="1"/>
    <x v="102"/>
    <x v="1"/>
    <x v="140"/>
    <x v="2"/>
    <x v="2"/>
  </r>
  <r>
    <x v="76"/>
    <x v="0"/>
    <x v="0"/>
    <x v="151"/>
    <x v="1"/>
    <x v="131"/>
    <x v="1"/>
    <x v="169"/>
    <x v="2"/>
    <x v="2"/>
  </r>
  <r>
    <x v="77"/>
    <x v="0"/>
    <x v="0"/>
    <x v="152"/>
    <x v="1"/>
    <x v="96"/>
    <x v="1"/>
    <x v="133"/>
    <x v="2"/>
    <x v="2"/>
  </r>
  <r>
    <x v="78"/>
    <x v="0"/>
    <x v="0"/>
    <x v="153"/>
    <x v="1"/>
    <x v="68"/>
    <x v="1"/>
    <x v="83"/>
    <x v="2"/>
    <x v="2"/>
  </r>
  <r>
    <x v="79"/>
    <x v="0"/>
    <x v="0"/>
    <x v="154"/>
    <x v="1"/>
    <x v="54"/>
    <x v="1"/>
    <x v="62"/>
    <x v="2"/>
    <x v="2"/>
  </r>
  <r>
    <x v="80"/>
    <x v="0"/>
    <x v="0"/>
    <x v="157"/>
    <x v="1"/>
    <x v="124"/>
    <x v="1"/>
    <x v="162"/>
    <x v="2"/>
    <x v="2"/>
  </r>
  <r>
    <x v="81"/>
    <x v="0"/>
    <x v="0"/>
    <x v="160"/>
    <x v="1"/>
    <x v="74"/>
    <x v="1"/>
    <x v="95"/>
    <x v="2"/>
    <x v="2"/>
  </r>
  <r>
    <x v="82"/>
    <x v="0"/>
    <x v="0"/>
    <x v="161"/>
    <x v="1"/>
    <x v="110"/>
    <x v="1"/>
    <x v="146"/>
    <x v="2"/>
    <x v="2"/>
  </r>
  <r>
    <x v="83"/>
    <x v="0"/>
    <x v="0"/>
    <x v="164"/>
    <x v="1"/>
    <x v="97"/>
    <x v="1"/>
    <x v="134"/>
    <x v="2"/>
    <x v="2"/>
  </r>
  <r>
    <x v="84"/>
    <x v="0"/>
    <x v="0"/>
    <x v="173"/>
    <x v="1"/>
    <x v="104"/>
    <x v="1"/>
    <x v="142"/>
    <x v="2"/>
    <x v="2"/>
  </r>
  <r>
    <x v="85"/>
    <x v="0"/>
    <x v="0"/>
    <x v="174"/>
    <x v="1"/>
    <x v="125"/>
    <x v="1"/>
    <x v="163"/>
    <x v="2"/>
    <x v="2"/>
  </r>
  <r>
    <x v="86"/>
    <x v="0"/>
    <x v="0"/>
    <x v="175"/>
    <x v="1"/>
    <x v="98"/>
    <x v="1"/>
    <x v="136"/>
    <x v="2"/>
    <x v="2"/>
  </r>
  <r>
    <x v="87"/>
    <x v="0"/>
    <x v="0"/>
    <x v="176"/>
    <x v="1"/>
    <x v="120"/>
    <x v="1"/>
    <x v="158"/>
    <x v="2"/>
    <x v="2"/>
  </r>
  <r>
    <x v="88"/>
    <x v="0"/>
    <x v="0"/>
    <x v="177"/>
    <x v="1"/>
    <x v="87"/>
    <x v="1"/>
    <x v="120"/>
    <x v="2"/>
    <x v="2"/>
  </r>
  <r>
    <x v="89"/>
    <x v="0"/>
    <x v="0"/>
    <x v="178"/>
    <x v="1"/>
    <x v="112"/>
    <x v="1"/>
    <x v="147"/>
    <x v="2"/>
    <x v="2"/>
  </r>
  <r>
    <x v="90"/>
    <x v="0"/>
    <x v="0"/>
    <x v="179"/>
    <x v="1"/>
    <x v="118"/>
    <x v="1"/>
    <x v="153"/>
    <x v="2"/>
    <x v="2"/>
  </r>
  <r>
    <x v="91"/>
    <x v="0"/>
    <x v="0"/>
    <x v="180"/>
    <x v="1"/>
    <x v="134"/>
    <x v="1"/>
    <x v="172"/>
    <x v="2"/>
    <x v="2"/>
  </r>
  <r>
    <x v="92"/>
    <x v="0"/>
    <x v="0"/>
    <x v="181"/>
    <x v="1"/>
    <x v="117"/>
    <x v="1"/>
    <x v="151"/>
    <x v="2"/>
    <x v="2"/>
  </r>
  <r>
    <x v="93"/>
    <x v="0"/>
    <x v="0"/>
    <x v="182"/>
    <x v="1"/>
    <x v="122"/>
    <x v="1"/>
    <x v="160"/>
    <x v="2"/>
    <x v="2"/>
  </r>
  <r>
    <x v="94"/>
    <x v="0"/>
    <x v="0"/>
    <x v="183"/>
    <x v="1"/>
    <x v="100"/>
    <x v="1"/>
    <x v="138"/>
    <x v="2"/>
    <x v="2"/>
  </r>
  <r>
    <x v="95"/>
    <x v="0"/>
    <x v="0"/>
    <x v="184"/>
    <x v="1"/>
    <x v="93"/>
    <x v="1"/>
    <x v="131"/>
    <x v="2"/>
    <x v="2"/>
  </r>
  <r>
    <x v="96"/>
    <x v="0"/>
    <x v="0"/>
    <x v="185"/>
    <x v="1"/>
    <x v="65"/>
    <x v="1"/>
    <x v="79"/>
    <x v="2"/>
    <x v="2"/>
  </r>
  <r>
    <x v="97"/>
    <x v="0"/>
    <x v="0"/>
    <x v="188"/>
    <x v="1"/>
    <x v="129"/>
    <x v="1"/>
    <x v="165"/>
    <x v="2"/>
    <x v="2"/>
  </r>
  <r>
    <x v="98"/>
    <x v="0"/>
    <x v="0"/>
    <x v="189"/>
    <x v="1"/>
    <x v="88"/>
    <x v="1"/>
    <x v="122"/>
    <x v="2"/>
    <x v="2"/>
  </r>
  <r>
    <x v="99"/>
    <x v="0"/>
    <x v="0"/>
    <x v="190"/>
    <x v="1"/>
    <x v="81"/>
    <x v="1"/>
    <x v="107"/>
    <x v="2"/>
    <x v="2"/>
  </r>
  <r>
    <x v="100"/>
    <x v="0"/>
    <x v="0"/>
    <x v="191"/>
    <x v="1"/>
    <x v="105"/>
    <x v="1"/>
    <x v="144"/>
    <x v="2"/>
    <x v="2"/>
  </r>
  <r>
    <x v="101"/>
    <x v="0"/>
    <x v="0"/>
    <x v="192"/>
    <x v="1"/>
    <x v="138"/>
    <x v="1"/>
    <x v="178"/>
    <x v="2"/>
    <x v="2"/>
  </r>
  <r>
    <x v="102"/>
    <x v="0"/>
    <x v="0"/>
    <x v="195"/>
    <x v="1"/>
    <x v="34"/>
    <x v="1"/>
    <x v="26"/>
    <x v="2"/>
    <x v="2"/>
  </r>
  <r>
    <x v="103"/>
    <x v="0"/>
    <x v="0"/>
    <x v="198"/>
    <x v="1"/>
    <x v="135"/>
    <x v="1"/>
    <x v="173"/>
    <x v="2"/>
    <x v="2"/>
  </r>
  <r>
    <x v="104"/>
    <x v="0"/>
    <x v="0"/>
    <x v="201"/>
    <x v="1"/>
    <x v="75"/>
    <x v="1"/>
    <x v="98"/>
    <x v="2"/>
    <x v="2"/>
  </r>
  <r>
    <x v="105"/>
    <x v="0"/>
    <x v="0"/>
    <x v="202"/>
    <x v="1"/>
    <x v="42"/>
    <x v="1"/>
    <x v="38"/>
    <x v="2"/>
    <x v="2"/>
  </r>
  <r>
    <x v="106"/>
    <x v="0"/>
    <x v="0"/>
    <x v="203"/>
    <x v="1"/>
    <x v="56"/>
    <x v="1"/>
    <x v="64"/>
    <x v="2"/>
    <x v="2"/>
  </r>
  <r>
    <x v="107"/>
    <x v="0"/>
    <x v="0"/>
    <x v="204"/>
    <x v="1"/>
    <x v="62"/>
    <x v="1"/>
    <x v="77"/>
    <x v="2"/>
    <x v="2"/>
  </r>
  <r>
    <x v="108"/>
    <x v="0"/>
    <x v="0"/>
    <x v="230"/>
    <x v="1"/>
    <x v="128"/>
    <x v="2"/>
    <x v="166"/>
    <x v="3"/>
    <x v="2"/>
  </r>
  <r>
    <x v="109"/>
    <x v="0"/>
    <x v="0"/>
    <x v="245"/>
    <x v="1"/>
    <x v="111"/>
    <x v="2"/>
    <x v="150"/>
    <x v="3"/>
    <x v="2"/>
  </r>
  <r>
    <x v="110"/>
    <x v="0"/>
    <x v="0"/>
    <x v="250"/>
    <x v="1"/>
    <x v="71"/>
    <x v="2"/>
    <x v="91"/>
    <x v="3"/>
    <x v="2"/>
  </r>
  <r>
    <x v="111"/>
    <x v="0"/>
    <x v="0"/>
    <x v="253"/>
    <x v="1"/>
    <x v="75"/>
    <x v="2"/>
    <x v="101"/>
    <x v="3"/>
    <x v="2"/>
  </r>
  <r>
    <x v="112"/>
    <x v="0"/>
    <x v="0"/>
    <x v="256"/>
    <x v="1"/>
    <x v="137"/>
    <x v="2"/>
    <x v="177"/>
    <x v="3"/>
    <x v="2"/>
  </r>
  <r>
    <x v="113"/>
    <x v="0"/>
    <x v="0"/>
    <x v="257"/>
    <x v="1"/>
    <x v="136"/>
    <x v="2"/>
    <x v="174"/>
    <x v="3"/>
    <x v="2"/>
  </r>
  <r>
    <x v="114"/>
    <x v="0"/>
    <x v="0"/>
    <x v="264"/>
    <x v="1"/>
    <x v="106"/>
    <x v="2"/>
    <x v="145"/>
    <x v="3"/>
    <x v="2"/>
  </r>
  <r>
    <x v="115"/>
    <x v="0"/>
    <x v="0"/>
    <x v="267"/>
    <x v="1"/>
    <x v="139"/>
    <x v="2"/>
    <x v="180"/>
    <x v="3"/>
    <x v="2"/>
  </r>
  <r>
    <x v="116"/>
    <x v="0"/>
    <x v="0"/>
    <x v="276"/>
    <x v="1"/>
    <x v="89"/>
    <x v="2"/>
    <x v="127"/>
    <x v="3"/>
    <x v="2"/>
  </r>
  <r>
    <x v="117"/>
    <x v="0"/>
    <x v="0"/>
    <x v="277"/>
    <x v="1"/>
    <x v="74"/>
    <x v="2"/>
    <x v="97"/>
    <x v="3"/>
    <x v="2"/>
  </r>
  <r>
    <x v="118"/>
    <x v="0"/>
    <x v="0"/>
    <x v="278"/>
    <x v="1"/>
    <x v="109"/>
    <x v="2"/>
    <x v="149"/>
    <x v="3"/>
    <x v="2"/>
  </r>
  <r>
    <x v="119"/>
    <x v="0"/>
    <x v="0"/>
    <x v="279"/>
    <x v="1"/>
    <x v="91"/>
    <x v="2"/>
    <x v="129"/>
    <x v="3"/>
    <x v="2"/>
  </r>
  <r>
    <x v="120"/>
    <x v="0"/>
    <x v="0"/>
    <x v="280"/>
    <x v="1"/>
    <x v="75"/>
    <x v="2"/>
    <x v="101"/>
    <x v="3"/>
    <x v="0"/>
  </r>
  <r>
    <x v="121"/>
    <x v="0"/>
    <x v="0"/>
    <x v="281"/>
    <x v="1"/>
    <x v="75"/>
    <x v="2"/>
    <x v="101"/>
    <x v="3"/>
    <x v="0"/>
  </r>
  <r>
    <x v="122"/>
    <x v="0"/>
    <x v="0"/>
    <x v="282"/>
    <x v="1"/>
    <x v="75"/>
    <x v="2"/>
    <x v="101"/>
    <x v="3"/>
    <x v="0"/>
  </r>
  <r>
    <x v="123"/>
    <x v="0"/>
    <x v="0"/>
    <x v="62"/>
    <x v="1"/>
    <x v="103"/>
    <x v="1"/>
    <x v="141"/>
    <x v="2"/>
    <x v="1"/>
  </r>
  <r>
    <x v="124"/>
    <x v="0"/>
    <x v="0"/>
    <x v="3"/>
    <x v="1"/>
    <x v="132"/>
    <x v="1"/>
    <x v="170"/>
    <x v="2"/>
    <x v="1"/>
  </r>
  <r>
    <x v="125"/>
    <x v="0"/>
    <x v="1"/>
    <x v="360"/>
    <x v="2"/>
    <x v="140"/>
    <x v="4"/>
    <x v="181"/>
    <x v="4"/>
    <x v="2"/>
  </r>
  <r>
    <x v="126"/>
    <x v="0"/>
    <x v="1"/>
    <x v="79"/>
    <x v="2"/>
    <x v="61"/>
    <x v="5"/>
    <x v="128"/>
    <x v="4"/>
    <x v="2"/>
  </r>
  <r>
    <x v="127"/>
    <x v="0"/>
    <x v="1"/>
    <x v="68"/>
    <x v="2"/>
    <x v="100"/>
    <x v="13"/>
    <x v="179"/>
    <x v="4"/>
    <x v="2"/>
  </r>
  <r>
    <x v="128"/>
    <x v="2"/>
    <x v="1"/>
    <x v="360"/>
    <x v="2"/>
    <x v="126"/>
    <x v="4"/>
    <x v="168"/>
    <x v="4"/>
    <x v="2"/>
  </r>
  <r>
    <x v="129"/>
    <x v="2"/>
    <x v="1"/>
    <x v="79"/>
    <x v="2"/>
    <x v="93"/>
    <x v="5"/>
    <x v="164"/>
    <x v="4"/>
    <x v="2"/>
  </r>
  <r>
    <x v="130"/>
    <x v="2"/>
    <x v="1"/>
    <x v="68"/>
    <x v="2"/>
    <x v="43"/>
    <x v="13"/>
    <x v="117"/>
    <x v="4"/>
    <x v="2"/>
  </r>
  <r>
    <x v="131"/>
    <x v="0"/>
    <x v="3"/>
    <x v="9"/>
    <x v="2"/>
    <x v="0"/>
    <x v="9"/>
    <x v="0"/>
    <x v="1"/>
    <x v="2"/>
  </r>
  <r>
    <x v="132"/>
    <x v="0"/>
    <x v="3"/>
    <x v="8"/>
    <x v="2"/>
    <x v="39"/>
    <x v="12"/>
    <x v="75"/>
    <x v="1"/>
    <x v="2"/>
  </r>
  <r>
    <x v="133"/>
    <x v="0"/>
    <x v="3"/>
    <x v="11"/>
    <x v="2"/>
    <x v="0"/>
    <x v="9"/>
    <x v="0"/>
    <x v="1"/>
    <x v="2"/>
  </r>
  <r>
    <x v="134"/>
    <x v="0"/>
    <x v="3"/>
    <x v="10"/>
    <x v="2"/>
    <x v="34"/>
    <x v="12"/>
    <x v="58"/>
    <x v="1"/>
    <x v="2"/>
  </r>
  <r>
    <x v="135"/>
    <x v="0"/>
    <x v="3"/>
    <x v="13"/>
    <x v="2"/>
    <x v="0"/>
    <x v="9"/>
    <x v="0"/>
    <x v="1"/>
    <x v="2"/>
  </r>
  <r>
    <x v="136"/>
    <x v="0"/>
    <x v="3"/>
    <x v="12"/>
    <x v="2"/>
    <x v="34"/>
    <x v="12"/>
    <x v="58"/>
    <x v="1"/>
    <x v="2"/>
  </r>
  <r>
    <x v="137"/>
    <x v="0"/>
    <x v="3"/>
    <x v="15"/>
    <x v="2"/>
    <x v="0"/>
    <x v="9"/>
    <x v="0"/>
    <x v="1"/>
    <x v="2"/>
  </r>
  <r>
    <x v="138"/>
    <x v="0"/>
    <x v="3"/>
    <x v="14"/>
    <x v="2"/>
    <x v="29"/>
    <x v="12"/>
    <x v="39"/>
    <x v="1"/>
    <x v="2"/>
  </r>
  <r>
    <x v="139"/>
    <x v="0"/>
    <x v="3"/>
    <x v="17"/>
    <x v="2"/>
    <x v="29"/>
    <x v="9"/>
    <x v="35"/>
    <x v="1"/>
    <x v="2"/>
  </r>
  <r>
    <x v="140"/>
    <x v="0"/>
    <x v="3"/>
    <x v="16"/>
    <x v="2"/>
    <x v="34"/>
    <x v="12"/>
    <x v="58"/>
    <x v="1"/>
    <x v="2"/>
  </r>
  <r>
    <x v="141"/>
    <x v="0"/>
    <x v="3"/>
    <x v="20"/>
    <x v="2"/>
    <x v="0"/>
    <x v="9"/>
    <x v="0"/>
    <x v="1"/>
    <x v="2"/>
  </r>
  <r>
    <x v="142"/>
    <x v="0"/>
    <x v="3"/>
    <x v="19"/>
    <x v="2"/>
    <x v="34"/>
    <x v="12"/>
    <x v="58"/>
    <x v="1"/>
    <x v="2"/>
  </r>
  <r>
    <x v="143"/>
    <x v="0"/>
    <x v="3"/>
    <x v="21"/>
    <x v="2"/>
    <x v="39"/>
    <x v="12"/>
    <x v="75"/>
    <x v="1"/>
    <x v="2"/>
  </r>
  <r>
    <x v="144"/>
    <x v="0"/>
    <x v="3"/>
    <x v="22"/>
    <x v="2"/>
    <x v="0"/>
    <x v="9"/>
    <x v="0"/>
    <x v="1"/>
    <x v="2"/>
  </r>
  <r>
    <x v="145"/>
    <x v="0"/>
    <x v="3"/>
    <x v="24"/>
    <x v="2"/>
    <x v="34"/>
    <x v="9"/>
    <x v="51"/>
    <x v="1"/>
    <x v="2"/>
  </r>
  <r>
    <x v="146"/>
    <x v="0"/>
    <x v="3"/>
    <x v="23"/>
    <x v="2"/>
    <x v="39"/>
    <x v="12"/>
    <x v="75"/>
    <x v="1"/>
    <x v="2"/>
  </r>
  <r>
    <x v="147"/>
    <x v="0"/>
    <x v="3"/>
    <x v="27"/>
    <x v="2"/>
    <x v="34"/>
    <x v="9"/>
    <x v="51"/>
    <x v="1"/>
    <x v="2"/>
  </r>
  <r>
    <x v="148"/>
    <x v="0"/>
    <x v="3"/>
    <x v="26"/>
    <x v="2"/>
    <x v="34"/>
    <x v="12"/>
    <x v="58"/>
    <x v="1"/>
    <x v="2"/>
  </r>
  <r>
    <x v="149"/>
    <x v="0"/>
    <x v="3"/>
    <x v="29"/>
    <x v="2"/>
    <x v="29"/>
    <x v="9"/>
    <x v="35"/>
    <x v="1"/>
    <x v="2"/>
  </r>
  <r>
    <x v="150"/>
    <x v="0"/>
    <x v="3"/>
    <x v="28"/>
    <x v="2"/>
    <x v="45"/>
    <x v="12"/>
    <x v="111"/>
    <x v="1"/>
    <x v="2"/>
  </r>
  <r>
    <x v="151"/>
    <x v="0"/>
    <x v="3"/>
    <x v="85"/>
    <x v="2"/>
    <x v="45"/>
    <x v="7"/>
    <x v="94"/>
    <x v="2"/>
    <x v="2"/>
  </r>
  <r>
    <x v="152"/>
    <x v="2"/>
    <x v="3"/>
    <x v="85"/>
    <x v="2"/>
    <x v="43"/>
    <x v="7"/>
    <x v="84"/>
    <x v="2"/>
    <x v="2"/>
  </r>
  <r>
    <x v="153"/>
    <x v="0"/>
    <x v="3"/>
    <x v="84"/>
    <x v="2"/>
    <x v="51"/>
    <x v="10"/>
    <x v="121"/>
    <x v="2"/>
    <x v="2"/>
  </r>
  <r>
    <x v="154"/>
    <x v="2"/>
    <x v="3"/>
    <x v="84"/>
    <x v="2"/>
    <x v="43"/>
    <x v="10"/>
    <x v="89"/>
    <x v="2"/>
    <x v="2"/>
  </r>
  <r>
    <x v="155"/>
    <x v="0"/>
    <x v="3"/>
    <x v="85"/>
    <x v="2"/>
    <x v="29"/>
    <x v="7"/>
    <x v="33"/>
    <x v="2"/>
    <x v="2"/>
  </r>
  <r>
    <x v="156"/>
    <x v="0"/>
    <x v="3"/>
    <x v="84"/>
    <x v="2"/>
    <x v="29"/>
    <x v="10"/>
    <x v="36"/>
    <x v="2"/>
    <x v="2"/>
  </r>
  <r>
    <x v="157"/>
    <x v="0"/>
    <x v="3"/>
    <x v="88"/>
    <x v="2"/>
    <x v="0"/>
    <x v="7"/>
    <x v="0"/>
    <x v="2"/>
    <x v="2"/>
  </r>
  <r>
    <x v="158"/>
    <x v="0"/>
    <x v="3"/>
    <x v="87"/>
    <x v="2"/>
    <x v="29"/>
    <x v="10"/>
    <x v="36"/>
    <x v="2"/>
    <x v="2"/>
  </r>
  <r>
    <x v="159"/>
    <x v="0"/>
    <x v="3"/>
    <x v="90"/>
    <x v="2"/>
    <x v="34"/>
    <x v="7"/>
    <x v="48"/>
    <x v="2"/>
    <x v="2"/>
  </r>
  <r>
    <x v="160"/>
    <x v="0"/>
    <x v="3"/>
    <x v="89"/>
    <x v="2"/>
    <x v="29"/>
    <x v="10"/>
    <x v="36"/>
    <x v="2"/>
    <x v="2"/>
  </r>
  <r>
    <x v="161"/>
    <x v="0"/>
    <x v="3"/>
    <x v="93"/>
    <x v="2"/>
    <x v="29"/>
    <x v="7"/>
    <x v="33"/>
    <x v="2"/>
    <x v="2"/>
  </r>
  <r>
    <x v="162"/>
    <x v="0"/>
    <x v="3"/>
    <x v="92"/>
    <x v="2"/>
    <x v="29"/>
    <x v="10"/>
    <x v="36"/>
    <x v="2"/>
    <x v="2"/>
  </r>
  <r>
    <x v="163"/>
    <x v="0"/>
    <x v="3"/>
    <x v="95"/>
    <x v="2"/>
    <x v="39"/>
    <x v="7"/>
    <x v="68"/>
    <x v="2"/>
    <x v="2"/>
  </r>
  <r>
    <x v="164"/>
    <x v="0"/>
    <x v="3"/>
    <x v="94"/>
    <x v="2"/>
    <x v="45"/>
    <x v="10"/>
    <x v="103"/>
    <x v="2"/>
    <x v="2"/>
  </r>
  <r>
    <x v="165"/>
    <x v="0"/>
    <x v="3"/>
    <x v="97"/>
    <x v="2"/>
    <x v="29"/>
    <x v="7"/>
    <x v="33"/>
    <x v="2"/>
    <x v="2"/>
  </r>
  <r>
    <x v="166"/>
    <x v="0"/>
    <x v="3"/>
    <x v="96"/>
    <x v="2"/>
    <x v="29"/>
    <x v="10"/>
    <x v="36"/>
    <x v="2"/>
    <x v="2"/>
  </r>
  <r>
    <x v="167"/>
    <x v="0"/>
    <x v="3"/>
    <x v="99"/>
    <x v="2"/>
    <x v="0"/>
    <x v="7"/>
    <x v="0"/>
    <x v="2"/>
    <x v="2"/>
  </r>
  <r>
    <x v="168"/>
    <x v="0"/>
    <x v="3"/>
    <x v="98"/>
    <x v="2"/>
    <x v="0"/>
    <x v="10"/>
    <x v="0"/>
    <x v="2"/>
    <x v="2"/>
  </r>
  <r>
    <x v="169"/>
    <x v="0"/>
    <x v="3"/>
    <x v="102"/>
    <x v="2"/>
    <x v="34"/>
    <x v="7"/>
    <x v="48"/>
    <x v="2"/>
    <x v="2"/>
  </r>
  <r>
    <x v="170"/>
    <x v="0"/>
    <x v="3"/>
    <x v="101"/>
    <x v="2"/>
    <x v="0"/>
    <x v="10"/>
    <x v="0"/>
    <x v="2"/>
    <x v="2"/>
  </r>
  <r>
    <x v="171"/>
    <x v="0"/>
    <x v="3"/>
    <x v="104"/>
    <x v="2"/>
    <x v="39"/>
    <x v="7"/>
    <x v="68"/>
    <x v="2"/>
    <x v="2"/>
  </r>
  <r>
    <x v="172"/>
    <x v="0"/>
    <x v="3"/>
    <x v="103"/>
    <x v="2"/>
    <x v="0"/>
    <x v="10"/>
    <x v="0"/>
    <x v="2"/>
    <x v="2"/>
  </r>
  <r>
    <x v="173"/>
    <x v="0"/>
    <x v="3"/>
    <x v="107"/>
    <x v="2"/>
    <x v="0"/>
    <x v="7"/>
    <x v="0"/>
    <x v="2"/>
    <x v="2"/>
  </r>
  <r>
    <x v="174"/>
    <x v="0"/>
    <x v="3"/>
    <x v="106"/>
    <x v="2"/>
    <x v="29"/>
    <x v="10"/>
    <x v="36"/>
    <x v="2"/>
    <x v="2"/>
  </r>
  <r>
    <x v="175"/>
    <x v="0"/>
    <x v="3"/>
    <x v="109"/>
    <x v="2"/>
    <x v="29"/>
    <x v="7"/>
    <x v="33"/>
    <x v="2"/>
    <x v="2"/>
  </r>
  <r>
    <x v="176"/>
    <x v="0"/>
    <x v="3"/>
    <x v="108"/>
    <x v="2"/>
    <x v="0"/>
    <x v="10"/>
    <x v="0"/>
    <x v="2"/>
    <x v="2"/>
  </r>
  <r>
    <x v="177"/>
    <x v="0"/>
    <x v="3"/>
    <x v="109"/>
    <x v="2"/>
    <x v="29"/>
    <x v="7"/>
    <x v="33"/>
    <x v="2"/>
    <x v="2"/>
  </r>
  <r>
    <x v="178"/>
    <x v="0"/>
    <x v="3"/>
    <x v="108"/>
    <x v="2"/>
    <x v="0"/>
    <x v="10"/>
    <x v="0"/>
    <x v="2"/>
    <x v="2"/>
  </r>
  <r>
    <x v="179"/>
    <x v="0"/>
    <x v="3"/>
    <x v="112"/>
    <x v="2"/>
    <x v="39"/>
    <x v="7"/>
    <x v="68"/>
    <x v="2"/>
    <x v="2"/>
  </r>
  <r>
    <x v="180"/>
    <x v="0"/>
    <x v="3"/>
    <x v="111"/>
    <x v="2"/>
    <x v="39"/>
    <x v="10"/>
    <x v="72"/>
    <x v="2"/>
    <x v="2"/>
  </r>
  <r>
    <x v="181"/>
    <x v="2"/>
    <x v="3"/>
    <x v="111"/>
    <x v="2"/>
    <x v="43"/>
    <x v="10"/>
    <x v="89"/>
    <x v="2"/>
    <x v="2"/>
  </r>
  <r>
    <x v="182"/>
    <x v="0"/>
    <x v="3"/>
    <x v="114"/>
    <x v="2"/>
    <x v="34"/>
    <x v="7"/>
    <x v="48"/>
    <x v="2"/>
    <x v="2"/>
  </r>
  <r>
    <x v="183"/>
    <x v="0"/>
    <x v="3"/>
    <x v="113"/>
    <x v="2"/>
    <x v="34"/>
    <x v="10"/>
    <x v="54"/>
    <x v="2"/>
    <x v="2"/>
  </r>
  <r>
    <x v="184"/>
    <x v="0"/>
    <x v="3"/>
    <x v="116"/>
    <x v="2"/>
    <x v="0"/>
    <x v="7"/>
    <x v="0"/>
    <x v="2"/>
    <x v="2"/>
  </r>
  <r>
    <x v="185"/>
    <x v="0"/>
    <x v="3"/>
    <x v="115"/>
    <x v="2"/>
    <x v="0"/>
    <x v="10"/>
    <x v="0"/>
    <x v="2"/>
    <x v="2"/>
  </r>
  <r>
    <x v="186"/>
    <x v="0"/>
    <x v="3"/>
    <x v="120"/>
    <x v="2"/>
    <x v="43"/>
    <x v="7"/>
    <x v="84"/>
    <x v="2"/>
    <x v="2"/>
  </r>
  <r>
    <x v="187"/>
    <x v="0"/>
    <x v="3"/>
    <x v="119"/>
    <x v="2"/>
    <x v="29"/>
    <x v="10"/>
    <x v="36"/>
    <x v="2"/>
    <x v="2"/>
  </r>
  <r>
    <x v="188"/>
    <x v="0"/>
    <x v="3"/>
    <x v="123"/>
    <x v="2"/>
    <x v="29"/>
    <x v="7"/>
    <x v="33"/>
    <x v="2"/>
    <x v="2"/>
  </r>
  <r>
    <x v="189"/>
    <x v="0"/>
    <x v="3"/>
    <x v="122"/>
    <x v="2"/>
    <x v="34"/>
    <x v="10"/>
    <x v="54"/>
    <x v="2"/>
    <x v="2"/>
  </r>
  <r>
    <x v="190"/>
    <x v="2"/>
    <x v="3"/>
    <x v="122"/>
    <x v="2"/>
    <x v="39"/>
    <x v="10"/>
    <x v="72"/>
    <x v="2"/>
    <x v="2"/>
  </r>
  <r>
    <x v="191"/>
    <x v="2"/>
    <x v="3"/>
    <x v="122"/>
    <x v="2"/>
    <x v="39"/>
    <x v="10"/>
    <x v="72"/>
    <x v="2"/>
    <x v="2"/>
  </r>
  <r>
    <x v="192"/>
    <x v="0"/>
    <x v="3"/>
    <x v="126"/>
    <x v="2"/>
    <x v="0"/>
    <x v="7"/>
    <x v="0"/>
    <x v="2"/>
    <x v="2"/>
  </r>
  <r>
    <x v="193"/>
    <x v="0"/>
    <x v="3"/>
    <x v="125"/>
    <x v="2"/>
    <x v="0"/>
    <x v="10"/>
    <x v="0"/>
    <x v="2"/>
    <x v="2"/>
  </r>
  <r>
    <x v="194"/>
    <x v="0"/>
    <x v="3"/>
    <x v="130"/>
    <x v="2"/>
    <x v="45"/>
    <x v="7"/>
    <x v="94"/>
    <x v="2"/>
    <x v="2"/>
  </r>
  <r>
    <x v="195"/>
    <x v="0"/>
    <x v="3"/>
    <x v="129"/>
    <x v="2"/>
    <x v="39"/>
    <x v="10"/>
    <x v="72"/>
    <x v="2"/>
    <x v="2"/>
  </r>
  <r>
    <x v="196"/>
    <x v="0"/>
    <x v="3"/>
    <x v="132"/>
    <x v="2"/>
    <x v="29"/>
    <x v="7"/>
    <x v="33"/>
    <x v="2"/>
    <x v="2"/>
  </r>
  <r>
    <x v="197"/>
    <x v="0"/>
    <x v="3"/>
    <x v="131"/>
    <x v="2"/>
    <x v="43"/>
    <x v="10"/>
    <x v="89"/>
    <x v="2"/>
    <x v="2"/>
  </r>
  <r>
    <x v="198"/>
    <x v="0"/>
    <x v="3"/>
    <x v="135"/>
    <x v="2"/>
    <x v="29"/>
    <x v="7"/>
    <x v="33"/>
    <x v="2"/>
    <x v="2"/>
  </r>
  <r>
    <x v="199"/>
    <x v="2"/>
    <x v="3"/>
    <x v="135"/>
    <x v="2"/>
    <x v="43"/>
    <x v="7"/>
    <x v="84"/>
    <x v="2"/>
    <x v="2"/>
  </r>
  <r>
    <x v="200"/>
    <x v="0"/>
    <x v="3"/>
    <x v="134"/>
    <x v="2"/>
    <x v="39"/>
    <x v="10"/>
    <x v="72"/>
    <x v="2"/>
    <x v="2"/>
  </r>
  <r>
    <x v="201"/>
    <x v="0"/>
    <x v="3"/>
    <x v="138"/>
    <x v="2"/>
    <x v="45"/>
    <x v="7"/>
    <x v="94"/>
    <x v="2"/>
    <x v="2"/>
  </r>
  <r>
    <x v="202"/>
    <x v="0"/>
    <x v="3"/>
    <x v="137"/>
    <x v="2"/>
    <x v="39"/>
    <x v="10"/>
    <x v="72"/>
    <x v="2"/>
    <x v="2"/>
  </r>
  <r>
    <x v="203"/>
    <x v="0"/>
    <x v="3"/>
    <x v="141"/>
    <x v="2"/>
    <x v="0"/>
    <x v="7"/>
    <x v="0"/>
    <x v="2"/>
    <x v="2"/>
  </r>
  <r>
    <x v="204"/>
    <x v="0"/>
    <x v="3"/>
    <x v="140"/>
    <x v="2"/>
    <x v="43"/>
    <x v="10"/>
    <x v="89"/>
    <x v="2"/>
    <x v="2"/>
  </r>
  <r>
    <x v="205"/>
    <x v="0"/>
    <x v="3"/>
    <x v="144"/>
    <x v="2"/>
    <x v="29"/>
    <x v="7"/>
    <x v="33"/>
    <x v="2"/>
    <x v="2"/>
  </r>
  <r>
    <x v="206"/>
    <x v="0"/>
    <x v="3"/>
    <x v="143"/>
    <x v="2"/>
    <x v="0"/>
    <x v="10"/>
    <x v="0"/>
    <x v="2"/>
    <x v="2"/>
  </r>
  <r>
    <x v="207"/>
    <x v="0"/>
    <x v="3"/>
    <x v="147"/>
    <x v="2"/>
    <x v="54"/>
    <x v="7"/>
    <x v="125"/>
    <x v="2"/>
    <x v="2"/>
  </r>
  <r>
    <x v="208"/>
    <x v="0"/>
    <x v="3"/>
    <x v="146"/>
    <x v="2"/>
    <x v="34"/>
    <x v="10"/>
    <x v="54"/>
    <x v="2"/>
    <x v="2"/>
  </r>
  <r>
    <x v="209"/>
    <x v="0"/>
    <x v="3"/>
    <x v="150"/>
    <x v="2"/>
    <x v="34"/>
    <x v="7"/>
    <x v="48"/>
    <x v="2"/>
    <x v="2"/>
  </r>
  <r>
    <x v="210"/>
    <x v="0"/>
    <x v="3"/>
    <x v="149"/>
    <x v="2"/>
    <x v="0"/>
    <x v="10"/>
    <x v="0"/>
    <x v="2"/>
    <x v="2"/>
  </r>
  <r>
    <x v="211"/>
    <x v="0"/>
    <x v="3"/>
    <x v="156"/>
    <x v="2"/>
    <x v="0"/>
    <x v="7"/>
    <x v="0"/>
    <x v="2"/>
    <x v="2"/>
  </r>
  <r>
    <x v="212"/>
    <x v="0"/>
    <x v="3"/>
    <x v="155"/>
    <x v="2"/>
    <x v="0"/>
    <x v="10"/>
    <x v="0"/>
    <x v="2"/>
    <x v="2"/>
  </r>
  <r>
    <x v="213"/>
    <x v="0"/>
    <x v="3"/>
    <x v="159"/>
    <x v="2"/>
    <x v="0"/>
    <x v="7"/>
    <x v="0"/>
    <x v="2"/>
    <x v="2"/>
  </r>
  <r>
    <x v="214"/>
    <x v="2"/>
    <x v="3"/>
    <x v="159"/>
    <x v="2"/>
    <x v="39"/>
    <x v="7"/>
    <x v="68"/>
    <x v="2"/>
    <x v="2"/>
  </r>
  <r>
    <x v="215"/>
    <x v="0"/>
    <x v="3"/>
    <x v="158"/>
    <x v="2"/>
    <x v="0"/>
    <x v="10"/>
    <x v="0"/>
    <x v="2"/>
    <x v="2"/>
  </r>
  <r>
    <x v="216"/>
    <x v="2"/>
    <x v="3"/>
    <x v="158"/>
    <x v="2"/>
    <x v="39"/>
    <x v="10"/>
    <x v="72"/>
    <x v="2"/>
    <x v="2"/>
  </r>
  <r>
    <x v="217"/>
    <x v="0"/>
    <x v="3"/>
    <x v="163"/>
    <x v="2"/>
    <x v="39"/>
    <x v="7"/>
    <x v="68"/>
    <x v="2"/>
    <x v="2"/>
  </r>
  <r>
    <x v="218"/>
    <x v="0"/>
    <x v="3"/>
    <x v="162"/>
    <x v="2"/>
    <x v="45"/>
    <x v="10"/>
    <x v="103"/>
    <x v="2"/>
    <x v="2"/>
  </r>
  <r>
    <x v="219"/>
    <x v="0"/>
    <x v="3"/>
    <x v="166"/>
    <x v="2"/>
    <x v="0"/>
    <x v="7"/>
    <x v="0"/>
    <x v="2"/>
    <x v="2"/>
  </r>
  <r>
    <x v="220"/>
    <x v="0"/>
    <x v="3"/>
    <x v="165"/>
    <x v="2"/>
    <x v="0"/>
    <x v="10"/>
    <x v="0"/>
    <x v="2"/>
    <x v="2"/>
  </r>
  <r>
    <x v="221"/>
    <x v="0"/>
    <x v="3"/>
    <x v="168"/>
    <x v="2"/>
    <x v="29"/>
    <x v="7"/>
    <x v="33"/>
    <x v="2"/>
    <x v="2"/>
  </r>
  <r>
    <x v="222"/>
    <x v="0"/>
    <x v="3"/>
    <x v="167"/>
    <x v="2"/>
    <x v="0"/>
    <x v="10"/>
    <x v="0"/>
    <x v="2"/>
    <x v="2"/>
  </r>
  <r>
    <x v="223"/>
    <x v="0"/>
    <x v="3"/>
    <x v="170"/>
    <x v="2"/>
    <x v="54"/>
    <x v="7"/>
    <x v="125"/>
    <x v="2"/>
    <x v="2"/>
  </r>
  <r>
    <x v="224"/>
    <x v="0"/>
    <x v="3"/>
    <x v="169"/>
    <x v="2"/>
    <x v="43"/>
    <x v="10"/>
    <x v="89"/>
    <x v="2"/>
    <x v="2"/>
  </r>
  <r>
    <x v="225"/>
    <x v="0"/>
    <x v="3"/>
    <x v="172"/>
    <x v="2"/>
    <x v="0"/>
    <x v="7"/>
    <x v="0"/>
    <x v="2"/>
    <x v="2"/>
  </r>
  <r>
    <x v="226"/>
    <x v="0"/>
    <x v="3"/>
    <x v="171"/>
    <x v="2"/>
    <x v="34"/>
    <x v="10"/>
    <x v="54"/>
    <x v="2"/>
    <x v="2"/>
  </r>
  <r>
    <x v="227"/>
    <x v="0"/>
    <x v="3"/>
    <x v="187"/>
    <x v="2"/>
    <x v="0"/>
    <x v="7"/>
    <x v="0"/>
    <x v="2"/>
    <x v="2"/>
  </r>
  <r>
    <x v="228"/>
    <x v="0"/>
    <x v="3"/>
    <x v="186"/>
    <x v="2"/>
    <x v="29"/>
    <x v="10"/>
    <x v="36"/>
    <x v="2"/>
    <x v="2"/>
  </r>
  <r>
    <x v="229"/>
    <x v="0"/>
    <x v="3"/>
    <x v="194"/>
    <x v="2"/>
    <x v="34"/>
    <x v="7"/>
    <x v="48"/>
    <x v="2"/>
    <x v="2"/>
  </r>
  <r>
    <x v="230"/>
    <x v="0"/>
    <x v="3"/>
    <x v="193"/>
    <x v="2"/>
    <x v="34"/>
    <x v="10"/>
    <x v="54"/>
    <x v="2"/>
    <x v="2"/>
  </r>
  <r>
    <x v="231"/>
    <x v="0"/>
    <x v="3"/>
    <x v="193"/>
    <x v="2"/>
    <x v="29"/>
    <x v="10"/>
    <x v="36"/>
    <x v="2"/>
    <x v="2"/>
  </r>
  <r>
    <x v="232"/>
    <x v="0"/>
    <x v="3"/>
    <x v="197"/>
    <x v="2"/>
    <x v="29"/>
    <x v="7"/>
    <x v="33"/>
    <x v="2"/>
    <x v="2"/>
  </r>
  <r>
    <x v="233"/>
    <x v="2"/>
    <x v="3"/>
    <x v="197"/>
    <x v="2"/>
    <x v="39"/>
    <x v="7"/>
    <x v="68"/>
    <x v="2"/>
    <x v="2"/>
  </r>
  <r>
    <x v="234"/>
    <x v="0"/>
    <x v="3"/>
    <x v="196"/>
    <x v="2"/>
    <x v="34"/>
    <x v="10"/>
    <x v="54"/>
    <x v="2"/>
    <x v="2"/>
  </r>
  <r>
    <x v="235"/>
    <x v="0"/>
    <x v="3"/>
    <x v="200"/>
    <x v="2"/>
    <x v="29"/>
    <x v="7"/>
    <x v="33"/>
    <x v="2"/>
    <x v="2"/>
  </r>
  <r>
    <x v="236"/>
    <x v="0"/>
    <x v="3"/>
    <x v="199"/>
    <x v="2"/>
    <x v="29"/>
    <x v="10"/>
    <x v="36"/>
    <x v="2"/>
    <x v="2"/>
  </r>
  <r>
    <x v="237"/>
    <x v="0"/>
    <x v="3"/>
    <x v="199"/>
    <x v="2"/>
    <x v="29"/>
    <x v="10"/>
    <x v="36"/>
    <x v="2"/>
    <x v="2"/>
  </r>
  <r>
    <x v="238"/>
    <x v="0"/>
    <x v="3"/>
    <x v="225"/>
    <x v="2"/>
    <x v="39"/>
    <x v="8"/>
    <x v="69"/>
    <x v="3"/>
    <x v="2"/>
  </r>
  <r>
    <x v="239"/>
    <x v="0"/>
    <x v="3"/>
    <x v="224"/>
    <x v="2"/>
    <x v="39"/>
    <x v="11"/>
    <x v="74"/>
    <x v="3"/>
    <x v="2"/>
  </r>
  <r>
    <x v="240"/>
    <x v="0"/>
    <x v="3"/>
    <x v="227"/>
    <x v="2"/>
    <x v="34"/>
    <x v="8"/>
    <x v="49"/>
    <x v="3"/>
    <x v="2"/>
  </r>
  <r>
    <x v="241"/>
    <x v="0"/>
    <x v="3"/>
    <x v="226"/>
    <x v="2"/>
    <x v="29"/>
    <x v="11"/>
    <x v="37"/>
    <x v="3"/>
    <x v="2"/>
  </r>
  <r>
    <x v="242"/>
    <x v="0"/>
    <x v="3"/>
    <x v="229"/>
    <x v="2"/>
    <x v="29"/>
    <x v="8"/>
    <x v="34"/>
    <x v="3"/>
    <x v="2"/>
  </r>
  <r>
    <x v="243"/>
    <x v="0"/>
    <x v="3"/>
    <x v="228"/>
    <x v="2"/>
    <x v="43"/>
    <x v="11"/>
    <x v="90"/>
    <x v="3"/>
    <x v="2"/>
  </r>
  <r>
    <x v="244"/>
    <x v="0"/>
    <x v="3"/>
    <x v="232"/>
    <x v="2"/>
    <x v="34"/>
    <x v="8"/>
    <x v="49"/>
    <x v="3"/>
    <x v="2"/>
  </r>
  <r>
    <x v="245"/>
    <x v="0"/>
    <x v="3"/>
    <x v="231"/>
    <x v="2"/>
    <x v="39"/>
    <x v="11"/>
    <x v="74"/>
    <x v="3"/>
    <x v="2"/>
  </r>
  <r>
    <x v="246"/>
    <x v="0"/>
    <x v="3"/>
    <x v="234"/>
    <x v="2"/>
    <x v="39"/>
    <x v="8"/>
    <x v="69"/>
    <x v="3"/>
    <x v="2"/>
  </r>
  <r>
    <x v="247"/>
    <x v="0"/>
    <x v="3"/>
    <x v="233"/>
    <x v="2"/>
    <x v="43"/>
    <x v="11"/>
    <x v="90"/>
    <x v="3"/>
    <x v="2"/>
  </r>
  <r>
    <x v="248"/>
    <x v="0"/>
    <x v="3"/>
    <x v="236"/>
    <x v="2"/>
    <x v="0"/>
    <x v="8"/>
    <x v="0"/>
    <x v="3"/>
    <x v="2"/>
  </r>
  <r>
    <x v="249"/>
    <x v="0"/>
    <x v="3"/>
    <x v="235"/>
    <x v="2"/>
    <x v="39"/>
    <x v="11"/>
    <x v="74"/>
    <x v="3"/>
    <x v="2"/>
  </r>
  <r>
    <x v="250"/>
    <x v="0"/>
    <x v="3"/>
    <x v="238"/>
    <x v="2"/>
    <x v="0"/>
    <x v="8"/>
    <x v="0"/>
    <x v="3"/>
    <x v="2"/>
  </r>
  <r>
    <x v="251"/>
    <x v="0"/>
    <x v="3"/>
    <x v="237"/>
    <x v="2"/>
    <x v="29"/>
    <x v="11"/>
    <x v="37"/>
    <x v="3"/>
    <x v="2"/>
  </r>
  <r>
    <x v="252"/>
    <x v="0"/>
    <x v="3"/>
    <x v="240"/>
    <x v="2"/>
    <x v="43"/>
    <x v="8"/>
    <x v="85"/>
    <x v="3"/>
    <x v="2"/>
  </r>
  <r>
    <x v="253"/>
    <x v="0"/>
    <x v="3"/>
    <x v="239"/>
    <x v="2"/>
    <x v="39"/>
    <x v="11"/>
    <x v="74"/>
    <x v="3"/>
    <x v="2"/>
  </r>
  <r>
    <x v="254"/>
    <x v="0"/>
    <x v="3"/>
    <x v="242"/>
    <x v="2"/>
    <x v="29"/>
    <x v="8"/>
    <x v="34"/>
    <x v="3"/>
    <x v="2"/>
  </r>
  <r>
    <x v="255"/>
    <x v="0"/>
    <x v="3"/>
    <x v="241"/>
    <x v="2"/>
    <x v="0"/>
    <x v="11"/>
    <x v="0"/>
    <x v="3"/>
    <x v="2"/>
  </r>
  <r>
    <x v="256"/>
    <x v="0"/>
    <x v="3"/>
    <x v="244"/>
    <x v="2"/>
    <x v="34"/>
    <x v="8"/>
    <x v="49"/>
    <x v="3"/>
    <x v="2"/>
  </r>
  <r>
    <x v="257"/>
    <x v="0"/>
    <x v="3"/>
    <x v="243"/>
    <x v="2"/>
    <x v="0"/>
    <x v="11"/>
    <x v="0"/>
    <x v="3"/>
    <x v="2"/>
  </r>
  <r>
    <x v="258"/>
    <x v="0"/>
    <x v="3"/>
    <x v="247"/>
    <x v="2"/>
    <x v="39"/>
    <x v="8"/>
    <x v="69"/>
    <x v="3"/>
    <x v="2"/>
  </r>
  <r>
    <x v="259"/>
    <x v="0"/>
    <x v="3"/>
    <x v="246"/>
    <x v="2"/>
    <x v="29"/>
    <x v="11"/>
    <x v="37"/>
    <x v="3"/>
    <x v="2"/>
  </r>
  <r>
    <x v="260"/>
    <x v="0"/>
    <x v="3"/>
    <x v="249"/>
    <x v="2"/>
    <x v="34"/>
    <x v="8"/>
    <x v="49"/>
    <x v="3"/>
    <x v="2"/>
  </r>
  <r>
    <x v="261"/>
    <x v="0"/>
    <x v="3"/>
    <x v="248"/>
    <x v="2"/>
    <x v="34"/>
    <x v="11"/>
    <x v="56"/>
    <x v="3"/>
    <x v="2"/>
  </r>
  <r>
    <x v="262"/>
    <x v="0"/>
    <x v="3"/>
    <x v="252"/>
    <x v="2"/>
    <x v="29"/>
    <x v="8"/>
    <x v="34"/>
    <x v="3"/>
    <x v="2"/>
  </r>
  <r>
    <x v="263"/>
    <x v="0"/>
    <x v="3"/>
    <x v="251"/>
    <x v="2"/>
    <x v="29"/>
    <x v="11"/>
    <x v="37"/>
    <x v="3"/>
    <x v="2"/>
  </r>
  <r>
    <x v="264"/>
    <x v="0"/>
    <x v="3"/>
    <x v="255"/>
    <x v="2"/>
    <x v="34"/>
    <x v="8"/>
    <x v="49"/>
    <x v="3"/>
    <x v="2"/>
  </r>
  <r>
    <x v="265"/>
    <x v="0"/>
    <x v="3"/>
    <x v="254"/>
    <x v="2"/>
    <x v="34"/>
    <x v="11"/>
    <x v="56"/>
    <x v="3"/>
    <x v="2"/>
  </r>
  <r>
    <x v="266"/>
    <x v="2"/>
    <x v="3"/>
    <x v="254"/>
    <x v="2"/>
    <x v="39"/>
    <x v="11"/>
    <x v="74"/>
    <x v="3"/>
    <x v="2"/>
  </r>
  <r>
    <x v="267"/>
    <x v="0"/>
    <x v="3"/>
    <x v="259"/>
    <x v="2"/>
    <x v="0"/>
    <x v="8"/>
    <x v="0"/>
    <x v="3"/>
    <x v="2"/>
  </r>
  <r>
    <x v="268"/>
    <x v="0"/>
    <x v="3"/>
    <x v="258"/>
    <x v="2"/>
    <x v="29"/>
    <x v="11"/>
    <x v="37"/>
    <x v="3"/>
    <x v="2"/>
  </r>
  <r>
    <x v="269"/>
    <x v="0"/>
    <x v="3"/>
    <x v="261"/>
    <x v="2"/>
    <x v="0"/>
    <x v="8"/>
    <x v="0"/>
    <x v="3"/>
    <x v="2"/>
  </r>
  <r>
    <x v="270"/>
    <x v="0"/>
    <x v="3"/>
    <x v="260"/>
    <x v="2"/>
    <x v="29"/>
    <x v="11"/>
    <x v="37"/>
    <x v="3"/>
    <x v="2"/>
  </r>
  <r>
    <x v="271"/>
    <x v="0"/>
    <x v="3"/>
    <x v="263"/>
    <x v="2"/>
    <x v="34"/>
    <x v="8"/>
    <x v="49"/>
    <x v="3"/>
    <x v="2"/>
  </r>
  <r>
    <x v="272"/>
    <x v="0"/>
    <x v="3"/>
    <x v="262"/>
    <x v="2"/>
    <x v="29"/>
    <x v="11"/>
    <x v="37"/>
    <x v="3"/>
    <x v="2"/>
  </r>
  <r>
    <x v="273"/>
    <x v="0"/>
    <x v="3"/>
    <x v="266"/>
    <x v="2"/>
    <x v="39"/>
    <x v="8"/>
    <x v="69"/>
    <x v="3"/>
    <x v="2"/>
  </r>
  <r>
    <x v="274"/>
    <x v="0"/>
    <x v="3"/>
    <x v="265"/>
    <x v="2"/>
    <x v="39"/>
    <x v="11"/>
    <x v="74"/>
    <x v="3"/>
    <x v="2"/>
  </r>
  <r>
    <x v="275"/>
    <x v="0"/>
    <x v="3"/>
    <x v="269"/>
    <x v="2"/>
    <x v="0"/>
    <x v="8"/>
    <x v="0"/>
    <x v="3"/>
    <x v="2"/>
  </r>
  <r>
    <x v="276"/>
    <x v="0"/>
    <x v="3"/>
    <x v="268"/>
    <x v="2"/>
    <x v="34"/>
    <x v="11"/>
    <x v="56"/>
    <x v="3"/>
    <x v="2"/>
  </r>
  <r>
    <x v="277"/>
    <x v="0"/>
    <x v="3"/>
    <x v="271"/>
    <x v="2"/>
    <x v="34"/>
    <x v="8"/>
    <x v="49"/>
    <x v="3"/>
    <x v="2"/>
  </r>
  <r>
    <x v="278"/>
    <x v="0"/>
    <x v="3"/>
    <x v="270"/>
    <x v="2"/>
    <x v="34"/>
    <x v="11"/>
    <x v="56"/>
    <x v="3"/>
    <x v="2"/>
  </r>
  <r>
    <x v="279"/>
    <x v="0"/>
    <x v="3"/>
    <x v="273"/>
    <x v="2"/>
    <x v="34"/>
    <x v="8"/>
    <x v="49"/>
    <x v="3"/>
    <x v="2"/>
  </r>
  <r>
    <x v="280"/>
    <x v="0"/>
    <x v="3"/>
    <x v="272"/>
    <x v="2"/>
    <x v="34"/>
    <x v="11"/>
    <x v="56"/>
    <x v="3"/>
    <x v="2"/>
  </r>
  <r>
    <x v="281"/>
    <x v="0"/>
    <x v="3"/>
    <x v="275"/>
    <x v="2"/>
    <x v="34"/>
    <x v="8"/>
    <x v="49"/>
    <x v="3"/>
    <x v="2"/>
  </r>
  <r>
    <x v="282"/>
    <x v="0"/>
    <x v="3"/>
    <x v="274"/>
    <x v="2"/>
    <x v="34"/>
    <x v="11"/>
    <x v="56"/>
    <x v="3"/>
    <x v="2"/>
  </r>
  <r>
    <x v="283"/>
    <x v="1"/>
    <x v="3"/>
    <x v="331"/>
    <x v="2"/>
    <x v="43"/>
    <x v="11"/>
    <x v="90"/>
    <x v="3"/>
    <x v="2"/>
  </r>
  <r>
    <x v="284"/>
    <x v="1"/>
    <x v="3"/>
    <x v="332"/>
    <x v="2"/>
    <x v="43"/>
    <x v="8"/>
    <x v="85"/>
    <x v="3"/>
    <x v="2"/>
  </r>
  <r>
    <x v="285"/>
    <x v="1"/>
    <x v="3"/>
    <x v="333"/>
    <x v="2"/>
    <x v="29"/>
    <x v="11"/>
    <x v="37"/>
    <x v="3"/>
    <x v="2"/>
  </r>
  <r>
    <x v="286"/>
    <x v="1"/>
    <x v="3"/>
    <x v="329"/>
    <x v="2"/>
    <x v="29"/>
    <x v="11"/>
    <x v="37"/>
    <x v="3"/>
    <x v="2"/>
  </r>
  <r>
    <x v="287"/>
    <x v="1"/>
    <x v="3"/>
    <x v="330"/>
    <x v="2"/>
    <x v="29"/>
    <x v="11"/>
    <x v="37"/>
    <x v="3"/>
    <x v="2"/>
  </r>
  <r>
    <x v="288"/>
    <x v="1"/>
    <x v="3"/>
    <x v="355"/>
    <x v="2"/>
    <x v="29"/>
    <x v="11"/>
    <x v="37"/>
    <x v="3"/>
    <x v="2"/>
  </r>
  <r>
    <x v="289"/>
    <x v="1"/>
    <x v="3"/>
    <x v="356"/>
    <x v="2"/>
    <x v="29"/>
    <x v="8"/>
    <x v="34"/>
    <x v="3"/>
    <x v="2"/>
  </r>
  <r>
    <x v="290"/>
    <x v="1"/>
    <x v="3"/>
    <x v="299"/>
    <x v="2"/>
    <x v="39"/>
    <x v="12"/>
    <x v="75"/>
    <x v="1"/>
    <x v="2"/>
  </r>
  <r>
    <x v="291"/>
    <x v="1"/>
    <x v="3"/>
    <x v="308"/>
    <x v="2"/>
    <x v="29"/>
    <x v="12"/>
    <x v="39"/>
    <x v="1"/>
    <x v="2"/>
  </r>
  <r>
    <x v="292"/>
    <x v="1"/>
    <x v="3"/>
    <x v="309"/>
    <x v="2"/>
    <x v="29"/>
    <x v="9"/>
    <x v="35"/>
    <x v="1"/>
    <x v="2"/>
  </r>
  <r>
    <x v="293"/>
    <x v="1"/>
    <x v="3"/>
    <x v="297"/>
    <x v="2"/>
    <x v="29"/>
    <x v="12"/>
    <x v="39"/>
    <x v="1"/>
    <x v="2"/>
  </r>
  <r>
    <x v="294"/>
    <x v="1"/>
    <x v="3"/>
    <x v="298"/>
    <x v="2"/>
    <x v="39"/>
    <x v="9"/>
    <x v="70"/>
    <x v="1"/>
    <x v="2"/>
  </r>
  <r>
    <x v="295"/>
    <x v="1"/>
    <x v="3"/>
    <x v="311"/>
    <x v="2"/>
    <x v="29"/>
    <x v="9"/>
    <x v="35"/>
    <x v="1"/>
    <x v="2"/>
  </r>
  <r>
    <x v="296"/>
    <x v="1"/>
    <x v="3"/>
    <x v="306"/>
    <x v="2"/>
    <x v="29"/>
    <x v="12"/>
    <x v="39"/>
    <x v="1"/>
    <x v="2"/>
  </r>
  <r>
    <x v="297"/>
    <x v="1"/>
    <x v="3"/>
    <x v="307"/>
    <x v="2"/>
    <x v="29"/>
    <x v="9"/>
    <x v="35"/>
    <x v="1"/>
    <x v="2"/>
  </r>
  <r>
    <x v="298"/>
    <x v="1"/>
    <x v="3"/>
    <x v="327"/>
    <x v="2"/>
    <x v="29"/>
    <x v="10"/>
    <x v="36"/>
    <x v="2"/>
    <x v="2"/>
  </r>
  <r>
    <x v="299"/>
    <x v="1"/>
    <x v="3"/>
    <x v="318"/>
    <x v="2"/>
    <x v="29"/>
    <x v="10"/>
    <x v="36"/>
    <x v="2"/>
    <x v="2"/>
  </r>
  <r>
    <x v="300"/>
    <x v="1"/>
    <x v="3"/>
    <x v="336"/>
    <x v="2"/>
    <x v="29"/>
    <x v="8"/>
    <x v="34"/>
    <x v="3"/>
    <x v="2"/>
  </r>
  <r>
    <x v="301"/>
    <x v="1"/>
    <x v="3"/>
    <x v="337"/>
    <x v="2"/>
    <x v="29"/>
    <x v="11"/>
    <x v="37"/>
    <x v="3"/>
    <x v="2"/>
  </r>
  <r>
    <x v="302"/>
    <x v="1"/>
    <x v="3"/>
    <x v="347"/>
    <x v="2"/>
    <x v="29"/>
    <x v="8"/>
    <x v="34"/>
    <x v="3"/>
    <x v="2"/>
  </r>
  <r>
    <x v="303"/>
    <x v="1"/>
    <x v="3"/>
    <x v="349"/>
    <x v="2"/>
    <x v="29"/>
    <x v="11"/>
    <x v="37"/>
    <x v="3"/>
    <x v="2"/>
  </r>
  <r>
    <x v="304"/>
    <x v="1"/>
    <x v="3"/>
    <x v="351"/>
    <x v="2"/>
    <x v="29"/>
    <x v="11"/>
    <x v="37"/>
    <x v="3"/>
    <x v="2"/>
  </r>
  <r>
    <x v="305"/>
    <x v="1"/>
    <x v="3"/>
    <x v="345"/>
    <x v="2"/>
    <x v="29"/>
    <x v="8"/>
    <x v="34"/>
    <x v="3"/>
    <x v="2"/>
  </r>
  <r>
    <x v="306"/>
    <x v="1"/>
    <x v="3"/>
    <x v="342"/>
    <x v="2"/>
    <x v="29"/>
    <x v="11"/>
    <x v="37"/>
    <x v="3"/>
    <x v="2"/>
  </r>
  <r>
    <x v="307"/>
    <x v="1"/>
    <x v="3"/>
    <x v="352"/>
    <x v="2"/>
    <x v="29"/>
    <x v="11"/>
    <x v="37"/>
    <x v="3"/>
    <x v="2"/>
  </r>
  <r>
    <x v="308"/>
    <x v="1"/>
    <x v="3"/>
    <x v="353"/>
    <x v="2"/>
    <x v="29"/>
    <x v="8"/>
    <x v="34"/>
    <x v="3"/>
    <x v="2"/>
  </r>
  <r>
    <x v="309"/>
    <x v="1"/>
    <x v="3"/>
    <x v="357"/>
    <x v="2"/>
    <x v="29"/>
    <x v="8"/>
    <x v="34"/>
    <x v="3"/>
    <x v="2"/>
  </r>
  <r>
    <x v="310"/>
    <x v="1"/>
    <x v="3"/>
    <x v="354"/>
    <x v="2"/>
    <x v="29"/>
    <x v="11"/>
    <x v="37"/>
    <x v="3"/>
    <x v="2"/>
  </r>
  <r>
    <x v="311"/>
    <x v="1"/>
    <x v="3"/>
    <x v="340"/>
    <x v="2"/>
    <x v="29"/>
    <x v="11"/>
    <x v="37"/>
    <x v="3"/>
    <x v="2"/>
  </r>
  <r>
    <x v="312"/>
    <x v="1"/>
    <x v="3"/>
    <x v="341"/>
    <x v="2"/>
    <x v="29"/>
    <x v="11"/>
    <x v="37"/>
    <x v="3"/>
    <x v="2"/>
  </r>
  <r>
    <x v="313"/>
    <x v="1"/>
    <x v="3"/>
    <x v="334"/>
    <x v="2"/>
    <x v="29"/>
    <x v="8"/>
    <x v="34"/>
    <x v="3"/>
    <x v="2"/>
  </r>
  <r>
    <x v="314"/>
    <x v="1"/>
    <x v="3"/>
    <x v="335"/>
    <x v="2"/>
    <x v="29"/>
    <x v="11"/>
    <x v="37"/>
    <x v="3"/>
    <x v="2"/>
  </r>
  <r>
    <x v="315"/>
    <x v="1"/>
    <x v="3"/>
    <x v="312"/>
    <x v="2"/>
    <x v="29"/>
    <x v="12"/>
    <x v="39"/>
    <x v="1"/>
    <x v="2"/>
  </r>
  <r>
    <x v="316"/>
    <x v="1"/>
    <x v="3"/>
    <x v="288"/>
    <x v="2"/>
    <x v="29"/>
    <x v="12"/>
    <x v="39"/>
    <x v="1"/>
    <x v="2"/>
  </r>
  <r>
    <x v="317"/>
    <x v="1"/>
    <x v="3"/>
    <x v="289"/>
    <x v="2"/>
    <x v="34"/>
    <x v="9"/>
    <x v="51"/>
    <x v="1"/>
    <x v="2"/>
  </r>
  <r>
    <x v="318"/>
    <x v="1"/>
    <x v="3"/>
    <x v="290"/>
    <x v="2"/>
    <x v="29"/>
    <x v="12"/>
    <x v="39"/>
    <x v="1"/>
    <x v="2"/>
  </r>
  <r>
    <x v="319"/>
    <x v="1"/>
    <x v="3"/>
    <x v="291"/>
    <x v="2"/>
    <x v="29"/>
    <x v="9"/>
    <x v="35"/>
    <x v="1"/>
    <x v="2"/>
  </r>
  <r>
    <x v="320"/>
    <x v="1"/>
    <x v="3"/>
    <x v="295"/>
    <x v="2"/>
    <x v="45"/>
    <x v="12"/>
    <x v="111"/>
    <x v="1"/>
    <x v="2"/>
  </r>
  <r>
    <x v="321"/>
    <x v="1"/>
    <x v="3"/>
    <x v="296"/>
    <x v="2"/>
    <x v="29"/>
    <x v="9"/>
    <x v="35"/>
    <x v="1"/>
    <x v="2"/>
  </r>
  <r>
    <x v="322"/>
    <x v="1"/>
    <x v="3"/>
    <x v="310"/>
    <x v="2"/>
    <x v="34"/>
    <x v="12"/>
    <x v="58"/>
    <x v="1"/>
    <x v="2"/>
  </r>
  <r>
    <x v="323"/>
    <x v="1"/>
    <x v="3"/>
    <x v="303"/>
    <x v="2"/>
    <x v="29"/>
    <x v="12"/>
    <x v="39"/>
    <x v="1"/>
    <x v="2"/>
  </r>
  <r>
    <x v="324"/>
    <x v="1"/>
    <x v="3"/>
    <x v="304"/>
    <x v="2"/>
    <x v="29"/>
    <x v="9"/>
    <x v="35"/>
    <x v="1"/>
    <x v="2"/>
  </r>
  <r>
    <x v="325"/>
    <x v="1"/>
    <x v="3"/>
    <x v="305"/>
    <x v="2"/>
    <x v="29"/>
    <x v="12"/>
    <x v="39"/>
    <x v="1"/>
    <x v="2"/>
  </r>
  <r>
    <x v="326"/>
    <x v="1"/>
    <x v="3"/>
    <x v="300"/>
    <x v="2"/>
    <x v="34"/>
    <x v="12"/>
    <x v="58"/>
    <x v="1"/>
    <x v="2"/>
  </r>
  <r>
    <x v="327"/>
    <x v="1"/>
    <x v="3"/>
    <x v="301"/>
    <x v="2"/>
    <x v="29"/>
    <x v="9"/>
    <x v="35"/>
    <x v="1"/>
    <x v="2"/>
  </r>
  <r>
    <x v="328"/>
    <x v="1"/>
    <x v="3"/>
    <x v="302"/>
    <x v="2"/>
    <x v="29"/>
    <x v="12"/>
    <x v="39"/>
    <x v="1"/>
    <x v="2"/>
  </r>
  <r>
    <x v="329"/>
    <x v="1"/>
    <x v="3"/>
    <x v="284"/>
    <x v="2"/>
    <x v="29"/>
    <x v="12"/>
    <x v="39"/>
    <x v="1"/>
    <x v="2"/>
  </r>
  <r>
    <x v="330"/>
    <x v="1"/>
    <x v="3"/>
    <x v="285"/>
    <x v="2"/>
    <x v="29"/>
    <x v="9"/>
    <x v="35"/>
    <x v="1"/>
    <x v="2"/>
  </r>
  <r>
    <x v="331"/>
    <x v="1"/>
    <x v="3"/>
    <x v="293"/>
    <x v="2"/>
    <x v="29"/>
    <x v="12"/>
    <x v="39"/>
    <x v="1"/>
    <x v="2"/>
  </r>
  <r>
    <x v="332"/>
    <x v="1"/>
    <x v="3"/>
    <x v="294"/>
    <x v="2"/>
    <x v="29"/>
    <x v="9"/>
    <x v="35"/>
    <x v="1"/>
    <x v="2"/>
  </r>
  <r>
    <x v="333"/>
    <x v="1"/>
    <x v="3"/>
    <x v="286"/>
    <x v="2"/>
    <x v="29"/>
    <x v="9"/>
    <x v="35"/>
    <x v="1"/>
    <x v="2"/>
  </r>
  <r>
    <x v="334"/>
    <x v="1"/>
    <x v="3"/>
    <x v="287"/>
    <x v="2"/>
    <x v="29"/>
    <x v="9"/>
    <x v="35"/>
    <x v="1"/>
    <x v="2"/>
  </r>
  <r>
    <x v="335"/>
    <x v="1"/>
    <x v="3"/>
    <x v="313"/>
    <x v="2"/>
    <x v="39"/>
    <x v="10"/>
    <x v="72"/>
    <x v="2"/>
    <x v="2"/>
  </r>
  <r>
    <x v="336"/>
    <x v="1"/>
    <x v="3"/>
    <x v="314"/>
    <x v="2"/>
    <x v="29"/>
    <x v="7"/>
    <x v="33"/>
    <x v="2"/>
    <x v="2"/>
  </r>
  <r>
    <x v="337"/>
    <x v="1"/>
    <x v="3"/>
    <x v="315"/>
    <x v="2"/>
    <x v="29"/>
    <x v="10"/>
    <x v="36"/>
    <x v="2"/>
    <x v="2"/>
  </r>
  <r>
    <x v="338"/>
    <x v="1"/>
    <x v="3"/>
    <x v="323"/>
    <x v="2"/>
    <x v="29"/>
    <x v="10"/>
    <x v="36"/>
    <x v="2"/>
    <x v="2"/>
  </r>
  <r>
    <x v="339"/>
    <x v="1"/>
    <x v="3"/>
    <x v="324"/>
    <x v="2"/>
    <x v="34"/>
    <x v="7"/>
    <x v="48"/>
    <x v="2"/>
    <x v="2"/>
  </r>
  <r>
    <x v="340"/>
    <x v="1"/>
    <x v="3"/>
    <x v="325"/>
    <x v="2"/>
    <x v="34"/>
    <x v="10"/>
    <x v="54"/>
    <x v="2"/>
    <x v="2"/>
  </r>
  <r>
    <x v="341"/>
    <x v="1"/>
    <x v="3"/>
    <x v="320"/>
    <x v="2"/>
    <x v="29"/>
    <x v="10"/>
    <x v="36"/>
    <x v="2"/>
    <x v="2"/>
  </r>
  <r>
    <x v="342"/>
    <x v="1"/>
    <x v="3"/>
    <x v="321"/>
    <x v="2"/>
    <x v="34"/>
    <x v="7"/>
    <x v="48"/>
    <x v="2"/>
    <x v="2"/>
  </r>
  <r>
    <x v="343"/>
    <x v="1"/>
    <x v="3"/>
    <x v="322"/>
    <x v="2"/>
    <x v="29"/>
    <x v="10"/>
    <x v="36"/>
    <x v="2"/>
    <x v="2"/>
  </r>
  <r>
    <x v="344"/>
    <x v="1"/>
    <x v="3"/>
    <x v="316"/>
    <x v="2"/>
    <x v="34"/>
    <x v="7"/>
    <x v="48"/>
    <x v="2"/>
    <x v="2"/>
  </r>
  <r>
    <x v="345"/>
    <x v="1"/>
    <x v="3"/>
    <x v="317"/>
    <x v="2"/>
    <x v="34"/>
    <x v="10"/>
    <x v="54"/>
    <x v="2"/>
    <x v="2"/>
  </r>
  <r>
    <x v="346"/>
    <x v="1"/>
    <x v="3"/>
    <x v="328"/>
    <x v="2"/>
    <x v="34"/>
    <x v="10"/>
    <x v="54"/>
    <x v="2"/>
    <x v="2"/>
  </r>
  <r>
    <x v="347"/>
    <x v="1"/>
    <x v="3"/>
    <x v="319"/>
    <x v="2"/>
    <x v="29"/>
    <x v="10"/>
    <x v="36"/>
    <x v="2"/>
    <x v="2"/>
  </r>
  <r>
    <x v="348"/>
    <x v="1"/>
    <x v="3"/>
    <x v="326"/>
    <x v="2"/>
    <x v="29"/>
    <x v="10"/>
    <x v="36"/>
    <x v="2"/>
    <x v="2"/>
  </r>
  <r>
    <x v="349"/>
    <x v="1"/>
    <x v="3"/>
    <x v="343"/>
    <x v="2"/>
    <x v="34"/>
    <x v="11"/>
    <x v="56"/>
    <x v="3"/>
    <x v="2"/>
  </r>
  <r>
    <x v="350"/>
    <x v="1"/>
    <x v="3"/>
    <x v="344"/>
    <x v="2"/>
    <x v="34"/>
    <x v="8"/>
    <x v="49"/>
    <x v="3"/>
    <x v="2"/>
  </r>
  <r>
    <x v="351"/>
    <x v="1"/>
    <x v="3"/>
    <x v="339"/>
    <x v="2"/>
    <x v="34"/>
    <x v="11"/>
    <x v="56"/>
    <x v="3"/>
    <x v="2"/>
  </r>
  <r>
    <x v="352"/>
    <x v="1"/>
    <x v="3"/>
    <x v="348"/>
    <x v="2"/>
    <x v="29"/>
    <x v="11"/>
    <x v="37"/>
    <x v="3"/>
    <x v="2"/>
  </r>
  <r>
    <x v="353"/>
    <x v="1"/>
    <x v="3"/>
    <x v="346"/>
    <x v="2"/>
    <x v="29"/>
    <x v="8"/>
    <x v="34"/>
    <x v="3"/>
    <x v="2"/>
  </r>
  <r>
    <x v="354"/>
    <x v="1"/>
    <x v="3"/>
    <x v="350"/>
    <x v="2"/>
    <x v="29"/>
    <x v="8"/>
    <x v="34"/>
    <x v="3"/>
    <x v="2"/>
  </r>
  <r>
    <x v="355"/>
    <x v="1"/>
    <x v="3"/>
    <x v="338"/>
    <x v="2"/>
    <x v="29"/>
    <x v="11"/>
    <x v="37"/>
    <x v="3"/>
    <x v="2"/>
  </r>
  <r>
    <x v="356"/>
    <x v="1"/>
    <x v="3"/>
    <x v="358"/>
    <x v="2"/>
    <x v="39"/>
    <x v="11"/>
    <x v="74"/>
    <x v="3"/>
    <x v="2"/>
  </r>
  <r>
    <x v="357"/>
    <x v="1"/>
    <x v="0"/>
    <x v="208"/>
    <x v="1"/>
    <x v="54"/>
    <x v="1"/>
    <x v="62"/>
    <x v="4"/>
    <x v="2"/>
  </r>
  <r>
    <x v="358"/>
    <x v="1"/>
    <x v="0"/>
    <x v="211"/>
    <x v="1"/>
    <x v="66"/>
    <x v="1"/>
    <x v="81"/>
    <x v="4"/>
    <x v="2"/>
  </r>
  <r>
    <x v="359"/>
    <x v="1"/>
    <x v="0"/>
    <x v="214"/>
    <x v="1"/>
    <x v="63"/>
    <x v="1"/>
    <x v="78"/>
    <x v="4"/>
    <x v="2"/>
  </r>
  <r>
    <x v="360"/>
    <x v="1"/>
    <x v="0"/>
    <x v="212"/>
    <x v="1"/>
    <x v="55"/>
    <x v="1"/>
    <x v="63"/>
    <x v="4"/>
    <x v="2"/>
  </r>
  <r>
    <x v="361"/>
    <x v="1"/>
    <x v="0"/>
    <x v="215"/>
    <x v="1"/>
    <x v="77"/>
    <x v="1"/>
    <x v="99"/>
    <x v="4"/>
    <x v="2"/>
  </r>
  <r>
    <x v="362"/>
    <x v="1"/>
    <x v="0"/>
    <x v="210"/>
    <x v="1"/>
    <x v="61"/>
    <x v="1"/>
    <x v="76"/>
    <x v="4"/>
    <x v="2"/>
  </r>
  <r>
    <x v="363"/>
    <x v="1"/>
    <x v="0"/>
    <x v="209"/>
    <x v="1"/>
    <x v="61"/>
    <x v="1"/>
    <x v="76"/>
    <x v="4"/>
    <x v="2"/>
  </r>
  <r>
    <x v="364"/>
    <x v="1"/>
    <x v="0"/>
    <x v="216"/>
    <x v="1"/>
    <x v="86"/>
    <x v="1"/>
    <x v="118"/>
    <x v="4"/>
    <x v="2"/>
  </r>
  <r>
    <x v="365"/>
    <x v="1"/>
    <x v="0"/>
    <x v="217"/>
    <x v="1"/>
    <x v="82"/>
    <x v="1"/>
    <x v="109"/>
    <x v="4"/>
    <x v="2"/>
  </r>
  <r>
    <x v="366"/>
    <x v="1"/>
    <x v="0"/>
    <x v="207"/>
    <x v="1"/>
    <x v="67"/>
    <x v="1"/>
    <x v="82"/>
    <x v="4"/>
    <x v="2"/>
  </r>
  <r>
    <x v="367"/>
    <x v="1"/>
    <x v="0"/>
    <x v="218"/>
    <x v="1"/>
    <x v="84"/>
    <x v="1"/>
    <x v="110"/>
    <x v="4"/>
    <x v="2"/>
  </r>
  <r>
    <x v="368"/>
    <x v="1"/>
    <x v="0"/>
    <x v="213"/>
    <x v="1"/>
    <x v="85"/>
    <x v="1"/>
    <x v="116"/>
    <x v="4"/>
    <x v="2"/>
  </r>
  <r>
    <x v="369"/>
    <x v="1"/>
    <x v="0"/>
    <x v="219"/>
    <x v="1"/>
    <x v="77"/>
    <x v="1"/>
    <x v="99"/>
    <x v="4"/>
    <x v="2"/>
  </r>
  <r>
    <x v="370"/>
    <x v="1"/>
    <x v="0"/>
    <x v="44"/>
    <x v="1"/>
    <x v="59"/>
    <x v="3"/>
    <x v="73"/>
    <x v="4"/>
    <x v="2"/>
  </r>
  <r>
    <x v="371"/>
    <x v="1"/>
    <x v="0"/>
    <x v="51"/>
    <x v="1"/>
    <x v="83"/>
    <x v="3"/>
    <x v="115"/>
    <x v="4"/>
    <x v="2"/>
  </r>
  <r>
    <x v="372"/>
    <x v="1"/>
    <x v="0"/>
    <x v="47"/>
    <x v="1"/>
    <x v="82"/>
    <x v="3"/>
    <x v="114"/>
    <x v="4"/>
    <x v="2"/>
  </r>
  <r>
    <x v="373"/>
    <x v="1"/>
    <x v="0"/>
    <x v="46"/>
    <x v="1"/>
    <x v="69"/>
    <x v="3"/>
    <x v="86"/>
    <x v="4"/>
    <x v="2"/>
  </r>
  <r>
    <x v="374"/>
    <x v="1"/>
    <x v="0"/>
    <x v="43"/>
    <x v="1"/>
    <x v="57"/>
    <x v="3"/>
    <x v="67"/>
    <x v="4"/>
    <x v="2"/>
  </r>
  <r>
    <x v="375"/>
    <x v="1"/>
    <x v="0"/>
    <x v="48"/>
    <x v="1"/>
    <x v="50"/>
    <x v="3"/>
    <x v="53"/>
    <x v="4"/>
    <x v="2"/>
  </r>
  <r>
    <x v="376"/>
    <x v="1"/>
    <x v="0"/>
    <x v="45"/>
    <x v="1"/>
    <x v="50"/>
    <x v="3"/>
    <x v="53"/>
    <x v="4"/>
    <x v="2"/>
  </r>
  <r>
    <x v="377"/>
    <x v="1"/>
    <x v="0"/>
    <x v="50"/>
    <x v="1"/>
    <x v="113"/>
    <x v="3"/>
    <x v="152"/>
    <x v="4"/>
    <x v="2"/>
  </r>
  <r>
    <x v="378"/>
    <x v="1"/>
    <x v="0"/>
    <x v="49"/>
    <x v="1"/>
    <x v="76"/>
    <x v="3"/>
    <x v="108"/>
    <x v="4"/>
    <x v="2"/>
  </r>
  <r>
    <x v="379"/>
    <x v="1"/>
    <x v="0"/>
    <x v="362"/>
    <x v="1"/>
    <x v="75"/>
    <x v="2"/>
    <x v="101"/>
    <x v="4"/>
    <x v="2"/>
  </r>
  <r>
    <x v="380"/>
    <x v="1"/>
    <x v="0"/>
    <x v="368"/>
    <x v="1"/>
    <x v="72"/>
    <x v="2"/>
    <x v="93"/>
    <x v="4"/>
    <x v="2"/>
  </r>
  <r>
    <x v="381"/>
    <x v="1"/>
    <x v="0"/>
    <x v="361"/>
    <x v="1"/>
    <x v="82"/>
    <x v="2"/>
    <x v="112"/>
    <x v="4"/>
    <x v="2"/>
  </r>
  <r>
    <x v="382"/>
    <x v="1"/>
    <x v="0"/>
    <x v="366"/>
    <x v="1"/>
    <x v="70"/>
    <x v="2"/>
    <x v="88"/>
    <x v="4"/>
    <x v="2"/>
  </r>
  <r>
    <x v="383"/>
    <x v="1"/>
    <x v="0"/>
    <x v="363"/>
    <x v="1"/>
    <x v="78"/>
    <x v="2"/>
    <x v="105"/>
    <x v="4"/>
    <x v="2"/>
  </r>
  <r>
    <x v="384"/>
    <x v="1"/>
    <x v="0"/>
    <x v="367"/>
    <x v="1"/>
    <x v="92"/>
    <x v="2"/>
    <x v="130"/>
    <x v="4"/>
    <x v="2"/>
  </r>
  <r>
    <x v="385"/>
    <x v="1"/>
    <x v="0"/>
    <x v="372"/>
    <x v="1"/>
    <x v="76"/>
    <x v="2"/>
    <x v="102"/>
    <x v="4"/>
    <x v="2"/>
  </r>
  <r>
    <x v="386"/>
    <x v="1"/>
    <x v="0"/>
    <x v="373"/>
    <x v="1"/>
    <x v="47"/>
    <x v="2"/>
    <x v="45"/>
    <x v="4"/>
    <x v="2"/>
  </r>
  <r>
    <x v="387"/>
    <x v="1"/>
    <x v="0"/>
    <x v="370"/>
    <x v="1"/>
    <x v="52"/>
    <x v="2"/>
    <x v="55"/>
    <x v="4"/>
    <x v="2"/>
  </r>
  <r>
    <x v="388"/>
    <x v="1"/>
    <x v="0"/>
    <x v="371"/>
    <x v="1"/>
    <x v="99"/>
    <x v="2"/>
    <x v="139"/>
    <x v="4"/>
    <x v="2"/>
  </r>
  <r>
    <x v="389"/>
    <x v="1"/>
    <x v="0"/>
    <x v="369"/>
    <x v="1"/>
    <x v="57"/>
    <x v="2"/>
    <x v="66"/>
    <x v="4"/>
    <x v="2"/>
  </r>
  <r>
    <x v="390"/>
    <x v="1"/>
    <x v="0"/>
    <x v="365"/>
    <x v="1"/>
    <x v="73"/>
    <x v="2"/>
    <x v="96"/>
    <x v="4"/>
    <x v="2"/>
  </r>
  <r>
    <x v="391"/>
    <x v="1"/>
    <x v="0"/>
    <x v="364"/>
    <x v="1"/>
    <x v="72"/>
    <x v="2"/>
    <x v="93"/>
    <x v="4"/>
    <x v="2"/>
  </r>
  <r>
    <x v="392"/>
    <x v="1"/>
    <x v="3"/>
    <x v="292"/>
    <x v="2"/>
    <x v="29"/>
    <x v="12"/>
    <x v="39"/>
    <x v="1"/>
    <x v="2"/>
  </r>
  <r>
    <x v="393"/>
    <x v="0"/>
    <x v="4"/>
    <x v="58"/>
    <x v="2"/>
    <x v="51"/>
    <x v="0"/>
    <x v="44"/>
    <x v="4"/>
    <x v="2"/>
  </r>
  <r>
    <x v="394"/>
    <x v="0"/>
    <x v="4"/>
    <x v="64"/>
    <x v="2"/>
    <x v="85"/>
    <x v="0"/>
    <x v="100"/>
    <x v="4"/>
    <x v="2"/>
  </r>
  <r>
    <x v="395"/>
    <x v="0"/>
    <x v="4"/>
    <x v="206"/>
    <x v="2"/>
    <x v="119"/>
    <x v="0"/>
    <x v="157"/>
    <x v="4"/>
    <x v="2"/>
  </r>
  <r>
    <x v="396"/>
    <x v="0"/>
    <x v="4"/>
    <x v="59"/>
    <x v="2"/>
    <x v="107"/>
    <x v="0"/>
    <x v="135"/>
    <x v="4"/>
    <x v="2"/>
  </r>
  <r>
    <x v="397"/>
    <x v="0"/>
    <x v="4"/>
    <x v="0"/>
    <x v="2"/>
    <x v="59"/>
    <x v="0"/>
    <x v="65"/>
    <x v="4"/>
    <x v="2"/>
  </r>
  <r>
    <x v="398"/>
    <x v="0"/>
    <x v="2"/>
    <x v="283"/>
    <x v="2"/>
    <x v="72"/>
    <x v="14"/>
    <x v="175"/>
    <x v="4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D7" firstHeaderRow="1" firstDataRow="2" firstDataCol="1" rowPageCount="1" colPageCount="1"/>
  <pivotFields count="10">
    <pivotField compact="0" showAll="0"/>
    <pivotField axis="axisPage" compact="0" showAll="0">
      <items count="4">
        <item h="1" x="0"/>
        <item h="1" x="1"/>
        <item x="2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</pivotFields>
  <rowFields count="1">
    <field x="2"/>
  </rowFields>
  <colFields count="1">
    <field x="-2"/>
  </colFields>
  <pageFields count="1">
    <pageField fld="1" hier="-1"/>
  </pageFields>
  <dataFields count="3">
    <dataField name="Sum of Quantity" fld="5" subtotal="sum" numFmtId="164"/>
    <dataField name="Average of Unit Cost" fld="6" subtotal="average" numFmtId="165"/>
    <dataField name="Sum of Total Cost" fld="7" subtotal="sum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3" displayName="Table13" ref="A1:J153" headerRowCount="1" totalsRowCount="0" totalsRowShown="0">
  <autoFilter ref="A1:J153"/>
  <tableColumns count="10">
    <tableColumn id="1" name="SNO"/>
    <tableColumn id="2" name="Cloth Type"/>
    <tableColumn id="3" name="Cloth Code"/>
    <tableColumn id="4" name="Shirt type"/>
    <tableColumn id="5" name="Shirt code"/>
    <tableColumn id="6" name="38"/>
    <tableColumn id="7" name="40"/>
    <tableColumn id="8" name="42"/>
    <tableColumn id="9" name="Quantity"/>
    <tableColumn id="10" name="Locatio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6" activeCellId="1" sqref="C133:D152 G16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.51"/>
    <col collapsed="false" customWidth="true" hidden="false" outlineLevel="0" max="3" min="3" style="0" width="9.17"/>
    <col collapsed="false" customWidth="true" hidden="false" outlineLevel="0" max="4" min="4" style="0" width="10.66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3" customFormat="false" ht="32" hidden="false" customHeight="false" outlineLevel="0" collapsed="false">
      <c r="A3" s="3"/>
      <c r="B3" s="4" t="s">
        <v>2</v>
      </c>
      <c r="C3" s="5"/>
      <c r="D3" s="6"/>
    </row>
    <row r="4" customFormat="false" ht="15" hidden="false" customHeight="false" outlineLevel="0" collapsed="false">
      <c r="A4" s="7" t="s">
        <v>3</v>
      </c>
      <c r="B4" s="8" t="s">
        <v>4</v>
      </c>
      <c r="C4" s="9" t="s">
        <v>5</v>
      </c>
      <c r="D4" s="10" t="s">
        <v>6</v>
      </c>
    </row>
    <row r="5" customFormat="false" ht="15" hidden="false" customHeight="false" outlineLevel="0" collapsed="false">
      <c r="A5" s="11" t="s">
        <v>7</v>
      </c>
      <c r="B5" s="12" t="n">
        <v>76</v>
      </c>
      <c r="C5" s="13" t="n">
        <v>779.710144927536</v>
      </c>
      <c r="D5" s="14" t="n">
        <v>37008.6956521739</v>
      </c>
    </row>
    <row r="6" customFormat="false" ht="15" hidden="false" customHeight="false" outlineLevel="0" collapsed="false">
      <c r="A6" s="15" t="s">
        <v>8</v>
      </c>
      <c r="B6" s="16" t="n">
        <v>34</v>
      </c>
      <c r="C6" s="17" t="n">
        <v>920.92875</v>
      </c>
      <c r="D6" s="18" t="n">
        <v>31274.5125</v>
      </c>
    </row>
    <row r="7" customFormat="false" ht="15" hidden="false" customHeight="false" outlineLevel="0" collapsed="false">
      <c r="A7" s="19" t="s">
        <v>9</v>
      </c>
      <c r="B7" s="20" t="n">
        <v>110</v>
      </c>
      <c r="C7" s="21" t="n">
        <v>888.339841137124</v>
      </c>
      <c r="D7" s="22" t="n">
        <v>68283.2081521739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00"/>
  <sheetViews>
    <sheetView showFormulas="false" showGridLines="true" showRowColHeaders="true" showZeros="true" rightToLeft="false" tabSelected="true" showOutlineSymbols="true" defaultGridColor="true" view="normal" topLeftCell="A129" colorId="64" zoomScale="60" zoomScaleNormal="60" zoomScalePageLayoutView="100" workbookViewId="0">
      <selection pane="topLeft" activeCell="D152" activeCellId="0" sqref="C133:D152"/>
    </sheetView>
  </sheetViews>
  <sheetFormatPr defaultColWidth="8.8359375" defaultRowHeight="15" zeroHeight="false" outlineLevelRow="0" outlineLevelCol="0"/>
  <cols>
    <col collapsed="false" customWidth="true" hidden="false" outlineLevel="0" max="4" min="4" style="23" width="16.5"/>
    <col collapsed="false" customWidth="false" hidden="false" outlineLevel="0" max="5" min="5" style="24" width="8.83"/>
    <col collapsed="false" customWidth="true" hidden="false" outlineLevel="0" max="6" min="6" style="24" width="15.98"/>
    <col collapsed="false" customWidth="true" hidden="false" outlineLevel="0" max="7" min="7" style="25" width="10.33"/>
    <col collapsed="false" customWidth="true" hidden="false" outlineLevel="0" max="8" min="8" style="0" width="10.83"/>
    <col collapsed="false" customWidth="true" hidden="false" outlineLevel="0" max="16" min="16" style="0" width="12"/>
    <col collapsed="false" customWidth="true" hidden="false" outlineLevel="0" max="17" min="17" style="0" width="9.51"/>
  </cols>
  <sheetData>
    <row r="1" customFormat="false" ht="15" hidden="false" customHeight="false" outlineLevel="0" collapsed="false">
      <c r="A1" s="26" t="s">
        <v>10</v>
      </c>
      <c r="B1" s="26" t="s">
        <v>0</v>
      </c>
      <c r="C1" s="26" t="s">
        <v>3</v>
      </c>
      <c r="D1" s="27" t="s">
        <v>11</v>
      </c>
      <c r="E1" s="26" t="s">
        <v>12</v>
      </c>
      <c r="F1" s="26" t="s">
        <v>13</v>
      </c>
      <c r="G1" s="28" t="s">
        <v>14</v>
      </c>
      <c r="H1" s="26" t="s">
        <v>15</v>
      </c>
      <c r="I1" s="26" t="s">
        <v>16</v>
      </c>
      <c r="J1" s="26" t="s">
        <v>17</v>
      </c>
      <c r="P1" s="0" t="s">
        <v>18</v>
      </c>
      <c r="Q1" s="0" t="s">
        <v>19</v>
      </c>
    </row>
    <row r="2" customFormat="false" ht="15" hidden="false" customHeight="false" outlineLevel="0" collapsed="false">
      <c r="A2" s="29" t="n">
        <v>1</v>
      </c>
      <c r="B2" s="29" t="s">
        <v>20</v>
      </c>
      <c r="C2" s="29" t="s">
        <v>21</v>
      </c>
      <c r="D2" s="30" t="s">
        <v>22</v>
      </c>
      <c r="E2" s="31" t="s">
        <v>23</v>
      </c>
      <c r="F2" s="31" t="n">
        <v>49.421</v>
      </c>
      <c r="G2" s="32" t="n">
        <v>667</v>
      </c>
      <c r="H2" s="32" t="n">
        <f aca="false">F2*G2</f>
        <v>32963.807</v>
      </c>
      <c r="I2" s="33"/>
      <c r="J2" s="33"/>
      <c r="M2" s="0" t="s">
        <v>21</v>
      </c>
      <c r="N2" s="0" t="s">
        <v>24</v>
      </c>
      <c r="O2" s="0" t="s">
        <v>25</v>
      </c>
      <c r="P2" s="25" t="n">
        <v>1530</v>
      </c>
      <c r="Q2" s="25" t="n">
        <f aca="false">P2/4.5</f>
        <v>340</v>
      </c>
    </row>
    <row r="3" customFormat="false" ht="15" hidden="false" customHeight="false" outlineLevel="0" collapsed="false">
      <c r="A3" s="29" t="n">
        <v>2</v>
      </c>
      <c r="B3" s="29" t="s">
        <v>20</v>
      </c>
      <c r="C3" s="29" t="s">
        <v>21</v>
      </c>
      <c r="D3" s="30" t="s">
        <v>26</v>
      </c>
      <c r="E3" s="31" t="s">
        <v>23</v>
      </c>
      <c r="F3" s="31" t="n">
        <v>2.701</v>
      </c>
      <c r="G3" s="32" t="n">
        <v>667</v>
      </c>
      <c r="H3" s="32" t="n">
        <f aca="false">F3*G3</f>
        <v>1801.567</v>
      </c>
      <c r="I3" s="33"/>
      <c r="J3" s="33"/>
      <c r="M3" s="0" t="s">
        <v>27</v>
      </c>
      <c r="N3" s="0" t="s">
        <v>24</v>
      </c>
      <c r="O3" s="0" t="s">
        <v>25</v>
      </c>
      <c r="P3" s="25" t="n">
        <v>570</v>
      </c>
      <c r="Q3" s="25" t="n">
        <f aca="false">P3/4.5</f>
        <v>126.666666666667</v>
      </c>
    </row>
    <row r="4" customFormat="false" ht="15" hidden="false" customHeight="false" outlineLevel="0" collapsed="false">
      <c r="A4" s="29" t="n">
        <v>3</v>
      </c>
      <c r="B4" s="29" t="s">
        <v>20</v>
      </c>
      <c r="C4" s="29" t="s">
        <v>21</v>
      </c>
      <c r="D4" s="30" t="s">
        <v>28</v>
      </c>
      <c r="E4" s="31" t="s">
        <v>23</v>
      </c>
      <c r="F4" s="31" t="n">
        <v>0.924</v>
      </c>
      <c r="G4" s="32" t="n">
        <v>667</v>
      </c>
      <c r="H4" s="32" t="n">
        <f aca="false">F4*G4</f>
        <v>616.308</v>
      </c>
      <c r="I4" s="33"/>
      <c r="J4" s="33"/>
      <c r="M4" s="0" t="s">
        <v>29</v>
      </c>
      <c r="N4" s="0" t="s">
        <v>24</v>
      </c>
      <c r="O4" s="0" t="s">
        <v>25</v>
      </c>
      <c r="P4" s="25" t="n">
        <v>500</v>
      </c>
      <c r="Q4" s="25" t="n">
        <f aca="false">P4/4.5</f>
        <v>111.111111111111</v>
      </c>
    </row>
    <row r="5" customFormat="false" ht="15" hidden="false" customHeight="false" outlineLevel="0" collapsed="false">
      <c r="A5" s="29" t="n">
        <v>4</v>
      </c>
      <c r="B5" s="29" t="s">
        <v>20</v>
      </c>
      <c r="C5" s="29" t="s">
        <v>21</v>
      </c>
      <c r="D5" s="30" t="s">
        <v>30</v>
      </c>
      <c r="E5" s="31" t="s">
        <v>23</v>
      </c>
      <c r="F5" s="31" t="n">
        <v>2.616</v>
      </c>
      <c r="G5" s="32" t="n">
        <v>667</v>
      </c>
      <c r="H5" s="32" t="n">
        <f aca="false">F5*G5</f>
        <v>1744.872</v>
      </c>
      <c r="I5" s="33"/>
      <c r="J5" s="33"/>
      <c r="M5" s="0" t="s">
        <v>31</v>
      </c>
      <c r="N5" s="0" t="s">
        <v>24</v>
      </c>
      <c r="O5" s="0" t="s">
        <v>25</v>
      </c>
      <c r="P5" s="25" t="n">
        <v>400</v>
      </c>
      <c r="Q5" s="25" t="n">
        <f aca="false">P5/4.5</f>
        <v>88.8888888888889</v>
      </c>
    </row>
    <row r="6" customFormat="false" ht="15" hidden="false" customHeight="false" outlineLevel="0" collapsed="false">
      <c r="A6" s="29" t="n">
        <v>5</v>
      </c>
      <c r="B6" s="29" t="s">
        <v>20</v>
      </c>
      <c r="C6" s="29" t="s">
        <v>21</v>
      </c>
      <c r="D6" s="30" t="s">
        <v>32</v>
      </c>
      <c r="E6" s="31" t="s">
        <v>23</v>
      </c>
      <c r="F6" s="31" t="n">
        <f aca="false">1.524+0.106+3.975</f>
        <v>5.605</v>
      </c>
      <c r="G6" s="32" t="n">
        <v>667</v>
      </c>
      <c r="H6" s="32" t="n">
        <f aca="false">F6*G6</f>
        <v>3738.535</v>
      </c>
      <c r="I6" s="33"/>
      <c r="J6" s="33"/>
    </row>
    <row r="7" customFormat="false" ht="15" hidden="false" customHeight="false" outlineLevel="0" collapsed="false">
      <c r="A7" s="29" t="n">
        <v>6</v>
      </c>
      <c r="B7" s="29" t="s">
        <v>20</v>
      </c>
      <c r="C7" s="29" t="s">
        <v>21</v>
      </c>
      <c r="D7" s="30" t="s">
        <v>33</v>
      </c>
      <c r="E7" s="31" t="s">
        <v>23</v>
      </c>
      <c r="F7" s="31" t="n">
        <v>1.264</v>
      </c>
      <c r="G7" s="32" t="n">
        <v>667</v>
      </c>
      <c r="H7" s="32" t="n">
        <f aca="false">F7*G7</f>
        <v>843.088</v>
      </c>
      <c r="I7" s="33"/>
      <c r="J7" s="33"/>
      <c r="O7" s="0" t="s">
        <v>34</v>
      </c>
      <c r="Q7" s="25" t="n">
        <f aca="false">SUM(Q2:Q5)</f>
        <v>666.666666666667</v>
      </c>
    </row>
    <row r="8" customFormat="false" ht="15" hidden="false" customHeight="false" outlineLevel="0" collapsed="false">
      <c r="A8" s="29" t="n">
        <v>7</v>
      </c>
      <c r="B8" s="29" t="s">
        <v>20</v>
      </c>
      <c r="C8" s="29" t="s">
        <v>21</v>
      </c>
      <c r="D8" s="30" t="s">
        <v>35</v>
      </c>
      <c r="E8" s="31" t="s">
        <v>23</v>
      </c>
      <c r="F8" s="31" t="n">
        <v>0.68</v>
      </c>
      <c r="G8" s="32" t="n">
        <v>667</v>
      </c>
      <c r="H8" s="32" t="n">
        <f aca="false">F8*G8</f>
        <v>453.56</v>
      </c>
      <c r="I8" s="33"/>
      <c r="J8" s="33"/>
    </row>
    <row r="9" customFormat="false" ht="15" hidden="false" customHeight="false" outlineLevel="0" collapsed="false">
      <c r="A9" s="29" t="n">
        <v>8</v>
      </c>
      <c r="B9" s="29" t="s">
        <v>20</v>
      </c>
      <c r="C9" s="29" t="s">
        <v>21</v>
      </c>
      <c r="D9" s="30" t="s">
        <v>36</v>
      </c>
      <c r="E9" s="31" t="s">
        <v>23</v>
      </c>
      <c r="F9" s="31" t="n">
        <f aca="false">0.252+1.896+0.94</f>
        <v>3.088</v>
      </c>
      <c r="G9" s="32" t="n">
        <v>667</v>
      </c>
      <c r="H9" s="32" t="n">
        <f aca="false">F9*G9</f>
        <v>2059.696</v>
      </c>
      <c r="I9" s="33"/>
      <c r="J9" s="33"/>
    </row>
    <row r="10" customFormat="false" ht="15" hidden="false" customHeight="false" outlineLevel="0" collapsed="false">
      <c r="A10" s="29" t="n">
        <v>9</v>
      </c>
      <c r="B10" s="29" t="s">
        <v>20</v>
      </c>
      <c r="C10" s="29" t="s">
        <v>21</v>
      </c>
      <c r="D10" s="30" t="s">
        <v>37</v>
      </c>
      <c r="E10" s="31" t="s">
        <v>23</v>
      </c>
      <c r="F10" s="31" t="n">
        <f aca="false">0.427+3.704</f>
        <v>4.131</v>
      </c>
      <c r="G10" s="32" t="n">
        <v>667</v>
      </c>
      <c r="H10" s="32" t="n">
        <f aca="false">F10*G10</f>
        <v>2755.377</v>
      </c>
      <c r="I10" s="33"/>
      <c r="J10" s="33"/>
      <c r="M10" s="0" t="s">
        <v>38</v>
      </c>
    </row>
    <row r="11" customFormat="false" ht="15" hidden="false" customHeight="false" outlineLevel="0" collapsed="false">
      <c r="A11" s="29" t="n">
        <v>10</v>
      </c>
      <c r="B11" s="29" t="s">
        <v>20</v>
      </c>
      <c r="C11" s="29" t="s">
        <v>21</v>
      </c>
      <c r="D11" s="30" t="s">
        <v>39</v>
      </c>
      <c r="E11" s="31" t="s">
        <v>23</v>
      </c>
      <c r="F11" s="31" t="n">
        <f aca="false">0.119+0.756</f>
        <v>0.875</v>
      </c>
      <c r="G11" s="32" t="n">
        <v>667</v>
      </c>
      <c r="H11" s="32" t="n">
        <f aca="false">F11*G11</f>
        <v>583.625</v>
      </c>
      <c r="I11" s="33"/>
      <c r="J11" s="33"/>
      <c r="M11" s="0" t="s">
        <v>40</v>
      </c>
      <c r="N11" s="0" t="s">
        <v>41</v>
      </c>
    </row>
    <row r="12" customFormat="false" ht="15" hidden="false" customHeight="false" outlineLevel="0" collapsed="false">
      <c r="A12" s="29" t="n">
        <v>11</v>
      </c>
      <c r="B12" s="29" t="s">
        <v>20</v>
      </c>
      <c r="C12" s="29" t="s">
        <v>21</v>
      </c>
      <c r="D12" s="30" t="s">
        <v>42</v>
      </c>
      <c r="E12" s="31" t="s">
        <v>23</v>
      </c>
      <c r="F12" s="31" t="n">
        <f aca="false">0.249</f>
        <v>0.249</v>
      </c>
      <c r="G12" s="32" t="n">
        <v>667</v>
      </c>
      <c r="H12" s="32" t="n">
        <f aca="false">F12*G12</f>
        <v>166.083</v>
      </c>
      <c r="I12" s="33"/>
      <c r="J12" s="33"/>
      <c r="M12" s="0" t="s">
        <v>43</v>
      </c>
      <c r="N12" s="0" t="s">
        <v>44</v>
      </c>
    </row>
    <row r="13" customFormat="false" ht="15" hidden="false" customHeight="false" outlineLevel="0" collapsed="false">
      <c r="A13" s="29" t="n">
        <v>12</v>
      </c>
      <c r="B13" s="29" t="s">
        <v>20</v>
      </c>
      <c r="C13" s="29" t="s">
        <v>21</v>
      </c>
      <c r="D13" s="30" t="s">
        <v>45</v>
      </c>
      <c r="E13" s="31" t="s">
        <v>23</v>
      </c>
      <c r="F13" s="31" t="n">
        <v>0.188</v>
      </c>
      <c r="G13" s="32" t="n">
        <v>667</v>
      </c>
      <c r="H13" s="32" t="n">
        <f aca="false">F13*G13</f>
        <v>125.396</v>
      </c>
      <c r="I13" s="33"/>
      <c r="J13" s="33"/>
      <c r="M13" s="0" t="s">
        <v>46</v>
      </c>
      <c r="N13" s="0" t="s">
        <v>47</v>
      </c>
    </row>
    <row r="14" customFormat="false" ht="15" hidden="false" customHeight="false" outlineLevel="0" collapsed="false">
      <c r="A14" s="29" t="n">
        <v>13</v>
      </c>
      <c r="B14" s="29" t="s">
        <v>20</v>
      </c>
      <c r="C14" s="29" t="s">
        <v>21</v>
      </c>
      <c r="D14" s="30" t="s">
        <v>48</v>
      </c>
      <c r="E14" s="31" t="s">
        <v>23</v>
      </c>
      <c r="F14" s="31" t="n">
        <v>0.111</v>
      </c>
      <c r="G14" s="32" t="n">
        <v>667</v>
      </c>
      <c r="H14" s="32" t="n">
        <f aca="false">F14*G14</f>
        <v>74.037</v>
      </c>
      <c r="I14" s="33"/>
      <c r="J14" s="33"/>
    </row>
    <row r="15" customFormat="false" ht="15" hidden="false" customHeight="false" outlineLevel="0" collapsed="false">
      <c r="A15" s="29" t="n">
        <v>14</v>
      </c>
      <c r="B15" s="29" t="s">
        <v>20</v>
      </c>
      <c r="C15" s="29" t="s">
        <v>21</v>
      </c>
      <c r="D15" s="30" t="s">
        <v>49</v>
      </c>
      <c r="E15" s="31" t="s">
        <v>23</v>
      </c>
      <c r="F15" s="31" t="n">
        <v>0.22</v>
      </c>
      <c r="G15" s="32" t="n">
        <v>667</v>
      </c>
      <c r="H15" s="32" t="n">
        <f aca="false">F15*G15</f>
        <v>146.74</v>
      </c>
      <c r="I15" s="33"/>
      <c r="J15" s="33"/>
    </row>
    <row r="16" customFormat="false" ht="15" hidden="false" customHeight="false" outlineLevel="0" collapsed="false">
      <c r="A16" s="29" t="n">
        <v>15</v>
      </c>
      <c r="B16" s="29" t="s">
        <v>20</v>
      </c>
      <c r="C16" s="29" t="s">
        <v>21</v>
      </c>
      <c r="D16" s="30" t="s">
        <v>50</v>
      </c>
      <c r="E16" s="31" t="s">
        <v>23</v>
      </c>
      <c r="F16" s="31" t="n">
        <v>0.164</v>
      </c>
      <c r="G16" s="32" t="n">
        <v>667</v>
      </c>
      <c r="H16" s="32" t="n">
        <f aca="false">F16*G16</f>
        <v>109.388</v>
      </c>
      <c r="I16" s="33"/>
      <c r="J16" s="33"/>
      <c r="M16" s="0" t="s">
        <v>51</v>
      </c>
      <c r="N16" s="0" t="s">
        <v>52</v>
      </c>
    </row>
    <row r="17" customFormat="false" ht="15" hidden="false" customHeight="false" outlineLevel="0" collapsed="false">
      <c r="A17" s="29" t="n">
        <v>16</v>
      </c>
      <c r="B17" s="29" t="s">
        <v>20</v>
      </c>
      <c r="C17" s="29" t="s">
        <v>21</v>
      </c>
      <c r="D17" s="30" t="s">
        <v>35</v>
      </c>
      <c r="E17" s="31" t="s">
        <v>23</v>
      </c>
      <c r="F17" s="31" t="n">
        <v>0.155</v>
      </c>
      <c r="G17" s="32" t="n">
        <v>667</v>
      </c>
      <c r="H17" s="32" t="n">
        <f aca="false">F17*G17</f>
        <v>103.385</v>
      </c>
      <c r="I17" s="33"/>
      <c r="J17" s="33"/>
    </row>
    <row r="18" customFormat="false" ht="15" hidden="false" customHeight="false" outlineLevel="0" collapsed="false">
      <c r="A18" s="29" t="n">
        <v>17</v>
      </c>
      <c r="B18" s="29" t="s">
        <v>20</v>
      </c>
      <c r="C18" s="29" t="s">
        <v>21</v>
      </c>
      <c r="D18" s="30" t="s">
        <v>53</v>
      </c>
      <c r="E18" s="31" t="s">
        <v>23</v>
      </c>
      <c r="F18" s="31" t="n">
        <v>0.178</v>
      </c>
      <c r="G18" s="32" t="n">
        <v>667</v>
      </c>
      <c r="H18" s="32" t="n">
        <f aca="false">F18*G18</f>
        <v>118.726</v>
      </c>
      <c r="I18" s="33"/>
      <c r="J18" s="33"/>
    </row>
    <row r="19" customFormat="false" ht="15" hidden="false" customHeight="false" outlineLevel="0" collapsed="false">
      <c r="A19" s="29" t="n">
        <v>18</v>
      </c>
      <c r="B19" s="29" t="s">
        <v>20</v>
      </c>
      <c r="C19" s="29" t="s">
        <v>21</v>
      </c>
      <c r="D19" s="30" t="s">
        <v>54</v>
      </c>
      <c r="E19" s="31" t="s">
        <v>23</v>
      </c>
      <c r="F19" s="31" t="n">
        <v>0.172</v>
      </c>
      <c r="G19" s="32" t="n">
        <v>667</v>
      </c>
      <c r="H19" s="32" t="n">
        <f aca="false">F19*G19</f>
        <v>114.724</v>
      </c>
      <c r="I19" s="33"/>
      <c r="J19" s="33"/>
    </row>
    <row r="20" customFormat="false" ht="15" hidden="false" customHeight="false" outlineLevel="0" collapsed="false">
      <c r="A20" s="29" t="n">
        <v>19</v>
      </c>
      <c r="B20" s="29" t="s">
        <v>20</v>
      </c>
      <c r="C20" s="29" t="s">
        <v>21</v>
      </c>
      <c r="D20" s="30" t="s">
        <v>55</v>
      </c>
      <c r="E20" s="31" t="s">
        <v>23</v>
      </c>
      <c r="F20" s="31" t="n">
        <v>0.19</v>
      </c>
      <c r="G20" s="32" t="n">
        <v>667</v>
      </c>
      <c r="H20" s="32" t="n">
        <f aca="false">F20*G20</f>
        <v>126.73</v>
      </c>
      <c r="I20" s="33"/>
      <c r="J20" s="33"/>
    </row>
    <row r="21" customFormat="false" ht="15" hidden="false" customHeight="false" outlineLevel="0" collapsed="false">
      <c r="A21" s="29" t="n">
        <v>20</v>
      </c>
      <c r="B21" s="29" t="s">
        <v>20</v>
      </c>
      <c r="C21" s="29" t="s">
        <v>21</v>
      </c>
      <c r="D21" s="30" t="s">
        <v>56</v>
      </c>
      <c r="E21" s="31" t="s">
        <v>23</v>
      </c>
      <c r="F21" s="31" t="n">
        <f aca="false">0.288+0.488</f>
        <v>0.776</v>
      </c>
      <c r="G21" s="32" t="n">
        <v>667</v>
      </c>
      <c r="H21" s="32" t="n">
        <f aca="false">F21*G21</f>
        <v>517.592</v>
      </c>
      <c r="I21" s="33"/>
      <c r="J21" s="33"/>
    </row>
    <row r="22" customFormat="false" ht="15" hidden="false" customHeight="false" outlineLevel="0" collapsed="false">
      <c r="A22" s="29" t="n">
        <v>21</v>
      </c>
      <c r="B22" s="29" t="s">
        <v>20</v>
      </c>
      <c r="C22" s="29" t="s">
        <v>21</v>
      </c>
      <c r="D22" s="30" t="s">
        <v>57</v>
      </c>
      <c r="E22" s="31" t="s">
        <v>23</v>
      </c>
      <c r="F22" s="31" t="n">
        <v>0.192</v>
      </c>
      <c r="G22" s="32" t="n">
        <v>667</v>
      </c>
      <c r="H22" s="32" t="n">
        <f aca="false">F22*G22</f>
        <v>128.064</v>
      </c>
      <c r="I22" s="33"/>
      <c r="J22" s="33"/>
    </row>
    <row r="23" customFormat="false" ht="15" hidden="false" customHeight="false" outlineLevel="0" collapsed="false">
      <c r="A23" s="29" t="n">
        <v>22</v>
      </c>
      <c r="B23" s="29" t="s">
        <v>20</v>
      </c>
      <c r="C23" s="29" t="s">
        <v>21</v>
      </c>
      <c r="D23" s="30" t="s">
        <v>58</v>
      </c>
      <c r="E23" s="31" t="s">
        <v>23</v>
      </c>
      <c r="F23" s="31" t="n">
        <f aca="false">0.198</f>
        <v>0.198</v>
      </c>
      <c r="G23" s="32" t="n">
        <v>667</v>
      </c>
      <c r="H23" s="32" t="n">
        <f aca="false">F23*G23</f>
        <v>132.066</v>
      </c>
      <c r="I23" s="33"/>
      <c r="J23" s="33"/>
    </row>
    <row r="24" customFormat="false" ht="15" hidden="false" customHeight="false" outlineLevel="0" collapsed="false">
      <c r="A24" s="29" t="n">
        <v>23</v>
      </c>
      <c r="B24" s="29" t="s">
        <v>20</v>
      </c>
      <c r="C24" s="29" t="s">
        <v>21</v>
      </c>
      <c r="D24" s="30" t="s">
        <v>59</v>
      </c>
      <c r="E24" s="31" t="s">
        <v>23</v>
      </c>
      <c r="F24" s="31" t="n">
        <f aca="false">1.092+0.185</f>
        <v>1.277</v>
      </c>
      <c r="G24" s="32" t="n">
        <v>667</v>
      </c>
      <c r="H24" s="32" t="n">
        <f aca="false">F24*G24</f>
        <v>851.759</v>
      </c>
      <c r="I24" s="33"/>
      <c r="J24" s="33"/>
    </row>
    <row r="25" customFormat="false" ht="15" hidden="false" customHeight="false" outlineLevel="0" collapsed="false">
      <c r="A25" s="29" t="n">
        <v>24</v>
      </c>
      <c r="B25" s="29" t="s">
        <v>20</v>
      </c>
      <c r="C25" s="29" t="s">
        <v>21</v>
      </c>
      <c r="D25" s="30" t="s">
        <v>60</v>
      </c>
      <c r="E25" s="31" t="s">
        <v>23</v>
      </c>
      <c r="F25" s="31" t="n">
        <v>0.11</v>
      </c>
      <c r="G25" s="32" t="n">
        <v>667</v>
      </c>
      <c r="H25" s="32" t="n">
        <f aca="false">F25*G25</f>
        <v>73.37</v>
      </c>
      <c r="I25" s="33"/>
      <c r="J25" s="33"/>
    </row>
    <row r="26" customFormat="false" ht="15" hidden="false" customHeight="false" outlineLevel="0" collapsed="false">
      <c r="A26" s="29" t="n">
        <v>25</v>
      </c>
      <c r="B26" s="29" t="s">
        <v>20</v>
      </c>
      <c r="C26" s="29" t="s">
        <v>21</v>
      </c>
      <c r="D26" s="30" t="s">
        <v>61</v>
      </c>
      <c r="E26" s="31" t="s">
        <v>23</v>
      </c>
      <c r="F26" s="31" t="n">
        <v>0.166</v>
      </c>
      <c r="G26" s="32" t="n">
        <v>667</v>
      </c>
      <c r="H26" s="32" t="n">
        <f aca="false">F26*G26</f>
        <v>110.722</v>
      </c>
      <c r="I26" s="33"/>
      <c r="J26" s="33"/>
    </row>
    <row r="27" customFormat="false" ht="15" hidden="false" customHeight="false" outlineLevel="0" collapsed="false">
      <c r="A27" s="29" t="n">
        <v>26</v>
      </c>
      <c r="B27" s="29" t="s">
        <v>20</v>
      </c>
      <c r="C27" s="29" t="s">
        <v>21</v>
      </c>
      <c r="D27" s="30" t="s">
        <v>62</v>
      </c>
      <c r="E27" s="31" t="s">
        <v>23</v>
      </c>
      <c r="F27" s="31" t="n">
        <v>0.401</v>
      </c>
      <c r="G27" s="32" t="n">
        <v>667</v>
      </c>
      <c r="H27" s="32" t="n">
        <f aca="false">F27*G27</f>
        <v>267.467</v>
      </c>
      <c r="I27" s="33"/>
      <c r="J27" s="33"/>
    </row>
    <row r="28" customFormat="false" ht="15" hidden="false" customHeight="false" outlineLevel="0" collapsed="false">
      <c r="A28" s="29" t="n">
        <v>27</v>
      </c>
      <c r="B28" s="29" t="s">
        <v>20</v>
      </c>
      <c r="C28" s="29" t="s">
        <v>21</v>
      </c>
      <c r="D28" s="30" t="s">
        <v>63</v>
      </c>
      <c r="E28" s="31" t="s">
        <v>23</v>
      </c>
      <c r="F28" s="31" t="n">
        <v>3.083</v>
      </c>
      <c r="G28" s="32" t="n">
        <v>667</v>
      </c>
      <c r="H28" s="32" t="n">
        <f aca="false">F28*G28</f>
        <v>2056.361</v>
      </c>
      <c r="I28" s="33"/>
      <c r="J28" s="33"/>
    </row>
    <row r="29" customFormat="false" ht="15" hidden="false" customHeight="false" outlineLevel="0" collapsed="false">
      <c r="A29" s="29" t="n">
        <v>28</v>
      </c>
      <c r="B29" s="29" t="s">
        <v>20</v>
      </c>
      <c r="C29" s="29" t="s">
        <v>21</v>
      </c>
      <c r="D29" s="30" t="s">
        <v>64</v>
      </c>
      <c r="E29" s="31" t="s">
        <v>23</v>
      </c>
      <c r="F29" s="31" t="n">
        <f aca="false">0.95+1.996</f>
        <v>2.946</v>
      </c>
      <c r="G29" s="32" t="n">
        <v>667</v>
      </c>
      <c r="H29" s="32" t="n">
        <f aca="false">F29*G29</f>
        <v>1964.982</v>
      </c>
      <c r="I29" s="33"/>
      <c r="J29" s="33"/>
      <c r="M29" s="0" t="s">
        <v>65</v>
      </c>
    </row>
    <row r="30" customFormat="false" ht="15" hidden="false" customHeight="false" outlineLevel="0" collapsed="false">
      <c r="A30" s="29" t="n">
        <v>29</v>
      </c>
      <c r="B30" s="29" t="s">
        <v>20</v>
      </c>
      <c r="C30" s="29" t="s">
        <v>21</v>
      </c>
      <c r="D30" s="30" t="s">
        <v>66</v>
      </c>
      <c r="E30" s="31" t="s">
        <v>23</v>
      </c>
      <c r="F30" s="31" t="n">
        <f aca="false">4.381+2.825+1.925</f>
        <v>9.131</v>
      </c>
      <c r="G30" s="32" t="n">
        <v>667</v>
      </c>
      <c r="H30" s="32" t="n">
        <f aca="false">F30*G30</f>
        <v>6090.377</v>
      </c>
      <c r="I30" s="33"/>
      <c r="J30" s="33"/>
      <c r="M30" s="0" t="s">
        <v>67</v>
      </c>
    </row>
    <row r="31" customFormat="false" ht="15" hidden="false" customHeight="false" outlineLevel="0" collapsed="false">
      <c r="A31" s="29" t="n">
        <v>30</v>
      </c>
      <c r="B31" s="29" t="s">
        <v>20</v>
      </c>
      <c r="C31" s="29" t="s">
        <v>21</v>
      </c>
      <c r="D31" s="30" t="s">
        <v>68</v>
      </c>
      <c r="E31" s="31" t="s">
        <v>23</v>
      </c>
      <c r="F31" s="31" t="n">
        <f aca="false">0.229+0.731</f>
        <v>0.96</v>
      </c>
      <c r="G31" s="32" t="n">
        <v>667</v>
      </c>
      <c r="H31" s="32" t="n">
        <f aca="false">F31*G31</f>
        <v>640.32</v>
      </c>
      <c r="I31" s="33"/>
      <c r="J31" s="33"/>
    </row>
    <row r="32" customFormat="false" ht="15" hidden="false" customHeight="false" outlineLevel="0" collapsed="false">
      <c r="A32" s="29" t="n">
        <v>31</v>
      </c>
      <c r="B32" s="29" t="s">
        <v>20</v>
      </c>
      <c r="C32" s="29" t="s">
        <v>21</v>
      </c>
      <c r="D32" s="30" t="s">
        <v>69</v>
      </c>
      <c r="E32" s="31" t="s">
        <v>23</v>
      </c>
      <c r="F32" s="31" t="n">
        <f aca="false">1.499</f>
        <v>1.499</v>
      </c>
      <c r="G32" s="32" t="n">
        <v>667</v>
      </c>
      <c r="H32" s="32" t="n">
        <f aca="false">F32*G32</f>
        <v>999.833</v>
      </c>
      <c r="I32" s="33"/>
      <c r="J32" s="33"/>
      <c r="M32" s="0" t="s">
        <v>70</v>
      </c>
    </row>
    <row r="33" customFormat="false" ht="15" hidden="false" customHeight="false" outlineLevel="0" collapsed="false">
      <c r="A33" s="29" t="n">
        <v>32</v>
      </c>
      <c r="B33" s="29" t="s">
        <v>20</v>
      </c>
      <c r="C33" s="29" t="s">
        <v>21</v>
      </c>
      <c r="D33" s="30" t="s">
        <v>71</v>
      </c>
      <c r="E33" s="31" t="s">
        <v>23</v>
      </c>
      <c r="F33" s="31" t="n">
        <v>0.388</v>
      </c>
      <c r="G33" s="32" t="n">
        <v>667</v>
      </c>
      <c r="H33" s="32" t="n">
        <f aca="false">F33*G33</f>
        <v>258.796</v>
      </c>
      <c r="I33" s="33"/>
      <c r="J33" s="33"/>
      <c r="M33" s="0" t="s">
        <v>72</v>
      </c>
      <c r="N33" s="0" t="s">
        <v>73</v>
      </c>
    </row>
    <row r="34" customFormat="false" ht="15" hidden="false" customHeight="false" outlineLevel="0" collapsed="false">
      <c r="A34" s="29" t="n">
        <v>33</v>
      </c>
      <c r="B34" s="29" t="s">
        <v>20</v>
      </c>
      <c r="C34" s="29" t="s">
        <v>21</v>
      </c>
      <c r="D34" s="30" t="s">
        <v>74</v>
      </c>
      <c r="E34" s="31" t="s">
        <v>23</v>
      </c>
      <c r="F34" s="31" t="n">
        <v>0.09</v>
      </c>
      <c r="G34" s="32" t="n">
        <v>667</v>
      </c>
      <c r="H34" s="32" t="n">
        <f aca="false">F34*G34</f>
        <v>60.03</v>
      </c>
      <c r="I34" s="33"/>
      <c r="J34" s="33"/>
      <c r="M34" s="0" t="s">
        <v>75</v>
      </c>
      <c r="N34" s="0" t="s">
        <v>76</v>
      </c>
    </row>
    <row r="35" customFormat="false" ht="15" hidden="false" customHeight="false" outlineLevel="0" collapsed="false">
      <c r="A35" s="29" t="n">
        <v>34</v>
      </c>
      <c r="B35" s="29" t="s">
        <v>20</v>
      </c>
      <c r="C35" s="29" t="s">
        <v>21</v>
      </c>
      <c r="D35" s="30" t="s">
        <v>77</v>
      </c>
      <c r="E35" s="31" t="s">
        <v>23</v>
      </c>
      <c r="F35" s="31" t="n">
        <v>1.547</v>
      </c>
      <c r="G35" s="32" t="n">
        <v>667</v>
      </c>
      <c r="H35" s="32" t="n">
        <f aca="false">F35*G35</f>
        <v>1031.849</v>
      </c>
      <c r="I35" s="33"/>
      <c r="J35" s="33"/>
    </row>
    <row r="36" customFormat="false" ht="15" hidden="false" customHeight="false" outlineLevel="0" collapsed="false">
      <c r="A36" s="29" t="n">
        <v>35</v>
      </c>
      <c r="B36" s="29" t="s">
        <v>20</v>
      </c>
      <c r="C36" s="29" t="s">
        <v>21</v>
      </c>
      <c r="D36" s="30" t="s">
        <v>78</v>
      </c>
      <c r="E36" s="31" t="s">
        <v>23</v>
      </c>
      <c r="F36" s="31" t="n">
        <v>0.608</v>
      </c>
      <c r="G36" s="32" t="n">
        <v>667</v>
      </c>
      <c r="H36" s="32" t="n">
        <f aca="false">F36*G36</f>
        <v>405.536</v>
      </c>
      <c r="I36" s="33"/>
      <c r="J36" s="33"/>
    </row>
    <row r="37" customFormat="false" ht="15" hidden="false" customHeight="false" outlineLevel="0" collapsed="false">
      <c r="A37" s="29" t="n">
        <v>36</v>
      </c>
      <c r="B37" s="29" t="s">
        <v>20</v>
      </c>
      <c r="C37" s="29" t="s">
        <v>21</v>
      </c>
      <c r="D37" s="30" t="s">
        <v>79</v>
      </c>
      <c r="E37" s="31" t="s">
        <v>23</v>
      </c>
      <c r="F37" s="31" t="n">
        <v>0.95</v>
      </c>
      <c r="G37" s="32" t="n">
        <v>667</v>
      </c>
      <c r="H37" s="32" t="n">
        <f aca="false">F37*G37</f>
        <v>633.65</v>
      </c>
      <c r="I37" s="33"/>
      <c r="J37" s="33"/>
      <c r="M37" s="0" t="s">
        <v>80</v>
      </c>
    </row>
    <row r="38" customFormat="false" ht="15" hidden="false" customHeight="false" outlineLevel="0" collapsed="false">
      <c r="A38" s="29" t="n">
        <v>37</v>
      </c>
      <c r="B38" s="29" t="s">
        <v>20</v>
      </c>
      <c r="C38" s="29" t="s">
        <v>21</v>
      </c>
      <c r="D38" s="30" t="s">
        <v>81</v>
      </c>
      <c r="E38" s="31" t="s">
        <v>23</v>
      </c>
      <c r="F38" s="31" t="n">
        <v>0.318</v>
      </c>
      <c r="G38" s="32" t="n">
        <v>667</v>
      </c>
      <c r="H38" s="32" t="n">
        <f aca="false">F38*G38</f>
        <v>212.106</v>
      </c>
      <c r="I38" s="33"/>
      <c r="J38" s="33"/>
      <c r="M38" s="34" t="s">
        <v>82</v>
      </c>
    </row>
    <row r="39" customFormat="false" ht="15" hidden="false" customHeight="false" outlineLevel="0" collapsed="false">
      <c r="A39" s="29" t="n">
        <v>38</v>
      </c>
      <c r="B39" s="29" t="s">
        <v>20</v>
      </c>
      <c r="C39" s="29" t="s">
        <v>21</v>
      </c>
      <c r="D39" s="30" t="s">
        <v>83</v>
      </c>
      <c r="E39" s="31" t="s">
        <v>23</v>
      </c>
      <c r="F39" s="31" t="n">
        <v>0.095</v>
      </c>
      <c r="G39" s="32" t="n">
        <v>667</v>
      </c>
      <c r="H39" s="32" t="n">
        <f aca="false">F39*G39</f>
        <v>63.365</v>
      </c>
      <c r="I39" s="33"/>
      <c r="J39" s="33"/>
    </row>
    <row r="40" customFormat="false" ht="15" hidden="false" customHeight="false" outlineLevel="0" collapsed="false">
      <c r="A40" s="29" t="n">
        <v>39</v>
      </c>
      <c r="B40" s="29" t="s">
        <v>20</v>
      </c>
      <c r="C40" s="29" t="s">
        <v>21</v>
      </c>
      <c r="D40" s="30" t="s">
        <v>84</v>
      </c>
      <c r="E40" s="31" t="s">
        <v>23</v>
      </c>
      <c r="F40" s="31" t="n">
        <v>0.107</v>
      </c>
      <c r="G40" s="32" t="n">
        <v>667</v>
      </c>
      <c r="H40" s="32" t="n">
        <f aca="false">F40*G40</f>
        <v>71.369</v>
      </c>
      <c r="I40" s="33"/>
      <c r="J40" s="33"/>
    </row>
    <row r="41" customFormat="false" ht="15" hidden="false" customHeight="false" outlineLevel="0" collapsed="false">
      <c r="A41" s="29" t="n">
        <v>40</v>
      </c>
      <c r="B41" s="29" t="s">
        <v>20</v>
      </c>
      <c r="C41" s="29" t="s">
        <v>21</v>
      </c>
      <c r="D41" s="30" t="s">
        <v>85</v>
      </c>
      <c r="E41" s="31" t="s">
        <v>23</v>
      </c>
      <c r="F41" s="31" t="n">
        <v>0.036</v>
      </c>
      <c r="G41" s="32" t="n">
        <v>667</v>
      </c>
      <c r="H41" s="32" t="n">
        <f aca="false">F41*G41</f>
        <v>24.012</v>
      </c>
      <c r="I41" s="33"/>
      <c r="J41" s="33"/>
    </row>
    <row r="42" customFormat="false" ht="15" hidden="false" customHeight="false" outlineLevel="0" collapsed="false">
      <c r="A42" s="29" t="n">
        <v>41</v>
      </c>
      <c r="B42" s="29" t="s">
        <v>20</v>
      </c>
      <c r="C42" s="29" t="s">
        <v>21</v>
      </c>
      <c r="D42" s="30" t="s">
        <v>86</v>
      </c>
      <c r="E42" s="31" t="s">
        <v>23</v>
      </c>
      <c r="F42" s="31" t="n">
        <v>0.029</v>
      </c>
      <c r="G42" s="32" t="n">
        <v>667</v>
      </c>
      <c r="H42" s="32" t="n">
        <f aca="false">F42*G42</f>
        <v>19.343</v>
      </c>
      <c r="I42" s="33"/>
      <c r="J42" s="33"/>
    </row>
    <row r="43" customFormat="false" ht="15" hidden="false" customHeight="false" outlineLevel="0" collapsed="false">
      <c r="A43" s="29" t="n">
        <v>42</v>
      </c>
      <c r="B43" s="29" t="s">
        <v>20</v>
      </c>
      <c r="C43" s="29" t="s">
        <v>21</v>
      </c>
      <c r="D43" s="30" t="s">
        <v>87</v>
      </c>
      <c r="E43" s="31" t="s">
        <v>23</v>
      </c>
      <c r="F43" s="31" t="n">
        <v>8.35</v>
      </c>
      <c r="G43" s="32" t="n">
        <v>667</v>
      </c>
      <c r="H43" s="32" t="n">
        <f aca="false">F43*G43</f>
        <v>5569.45</v>
      </c>
      <c r="I43" s="33"/>
      <c r="J43" s="33"/>
    </row>
    <row r="44" customFormat="false" ht="15" hidden="false" customHeight="false" outlineLevel="0" collapsed="false">
      <c r="A44" s="29" t="n">
        <v>43</v>
      </c>
      <c r="B44" s="29" t="s">
        <v>20</v>
      </c>
      <c r="C44" s="35" t="s">
        <v>88</v>
      </c>
      <c r="D44" s="30" t="s">
        <v>89</v>
      </c>
      <c r="E44" s="31" t="s">
        <v>90</v>
      </c>
      <c r="F44" s="31" t="n">
        <v>10.5</v>
      </c>
      <c r="G44" s="32" t="n">
        <f aca="false">305*1.05</f>
        <v>320.25</v>
      </c>
      <c r="H44" s="32" t="n">
        <f aca="false">F44*G44</f>
        <v>3362.625</v>
      </c>
      <c r="I44" s="31" t="s">
        <v>46</v>
      </c>
      <c r="J44" s="33"/>
    </row>
    <row r="45" customFormat="false" ht="15" hidden="false" customHeight="false" outlineLevel="0" collapsed="false">
      <c r="A45" s="29" t="n">
        <v>44</v>
      </c>
      <c r="B45" s="29" t="s">
        <v>20</v>
      </c>
      <c r="C45" s="35" t="s">
        <v>88</v>
      </c>
      <c r="D45" s="30" t="s">
        <v>91</v>
      </c>
      <c r="E45" s="31" t="s">
        <v>90</v>
      </c>
      <c r="F45" s="31" t="n">
        <v>51.67</v>
      </c>
      <c r="G45" s="32" t="n">
        <f aca="false">305*1.05</f>
        <v>320.25</v>
      </c>
      <c r="H45" s="32" t="n">
        <f aca="false">F45*G45</f>
        <v>16547.3175</v>
      </c>
      <c r="I45" s="31" t="s">
        <v>46</v>
      </c>
      <c r="J45" s="33"/>
    </row>
    <row r="46" customFormat="false" ht="15" hidden="false" customHeight="false" outlineLevel="0" collapsed="false">
      <c r="A46" s="29" t="n">
        <v>45</v>
      </c>
      <c r="B46" s="29" t="s">
        <v>20</v>
      </c>
      <c r="C46" s="35" t="s">
        <v>88</v>
      </c>
      <c r="D46" s="30" t="s">
        <v>92</v>
      </c>
      <c r="E46" s="31" t="s">
        <v>90</v>
      </c>
      <c r="F46" s="31" t="n">
        <v>2.7</v>
      </c>
      <c r="G46" s="32" t="n">
        <f aca="false">305*1.05</f>
        <v>320.25</v>
      </c>
      <c r="H46" s="32" t="n">
        <f aca="false">F46*G46</f>
        <v>864.675</v>
      </c>
      <c r="I46" s="31" t="s">
        <v>46</v>
      </c>
      <c r="J46" s="33"/>
    </row>
    <row r="47" customFormat="false" ht="15" hidden="false" customHeight="false" outlineLevel="0" collapsed="false">
      <c r="A47" s="29" t="n">
        <v>46</v>
      </c>
      <c r="B47" s="29" t="s">
        <v>20</v>
      </c>
      <c r="C47" s="35" t="s">
        <v>88</v>
      </c>
      <c r="D47" s="30" t="s">
        <v>93</v>
      </c>
      <c r="E47" s="31" t="s">
        <v>90</v>
      </c>
      <c r="F47" s="31" t="n">
        <v>28.3</v>
      </c>
      <c r="G47" s="32" t="n">
        <f aca="false">305*1.05</f>
        <v>320.25</v>
      </c>
      <c r="H47" s="32" t="n">
        <f aca="false">F47*G47</f>
        <v>9063.075</v>
      </c>
      <c r="I47" s="31" t="s">
        <v>46</v>
      </c>
      <c r="J47" s="33"/>
    </row>
    <row r="48" customFormat="false" ht="15" hidden="false" customHeight="false" outlineLevel="0" collapsed="false">
      <c r="A48" s="29" t="n">
        <v>47</v>
      </c>
      <c r="B48" s="29" t="s">
        <v>20</v>
      </c>
      <c r="C48" s="35" t="s">
        <v>88</v>
      </c>
      <c r="D48" s="30" t="s">
        <v>94</v>
      </c>
      <c r="E48" s="31" t="s">
        <v>90</v>
      </c>
      <c r="F48" s="31" t="n">
        <v>24.1</v>
      </c>
      <c r="G48" s="32" t="n">
        <f aca="false">305*1.05</f>
        <v>320.25</v>
      </c>
      <c r="H48" s="32" t="n">
        <f aca="false">F48*G48</f>
        <v>7718.025</v>
      </c>
      <c r="I48" s="31" t="s">
        <v>46</v>
      </c>
      <c r="J48" s="33"/>
    </row>
    <row r="49" customFormat="false" ht="15" hidden="false" customHeight="false" outlineLevel="0" collapsed="false">
      <c r="A49" s="29" t="n">
        <v>48</v>
      </c>
      <c r="B49" s="29" t="s">
        <v>20</v>
      </c>
      <c r="C49" s="35" t="s">
        <v>88</v>
      </c>
      <c r="D49" s="30" t="s">
        <v>95</v>
      </c>
      <c r="E49" s="31" t="s">
        <v>90</v>
      </c>
      <c r="F49" s="31" t="n">
        <v>26.3</v>
      </c>
      <c r="G49" s="32" t="n">
        <f aca="false">305*1.05</f>
        <v>320.25</v>
      </c>
      <c r="H49" s="32" t="n">
        <f aca="false">F49*G49</f>
        <v>8422.575</v>
      </c>
      <c r="I49" s="31" t="s">
        <v>46</v>
      </c>
      <c r="J49" s="33"/>
    </row>
    <row r="50" customFormat="false" ht="15" hidden="false" customHeight="false" outlineLevel="0" collapsed="false">
      <c r="A50" s="29" t="n">
        <v>49</v>
      </c>
      <c r="B50" s="29" t="s">
        <v>20</v>
      </c>
      <c r="C50" s="35" t="s">
        <v>88</v>
      </c>
      <c r="D50" s="30" t="s">
        <v>96</v>
      </c>
      <c r="E50" s="31" t="s">
        <v>90</v>
      </c>
      <c r="F50" s="31" t="n">
        <v>31.3</v>
      </c>
      <c r="G50" s="32" t="n">
        <f aca="false">305*1.05</f>
        <v>320.25</v>
      </c>
      <c r="H50" s="32" t="n">
        <f aca="false">F50*G50</f>
        <v>10023.825</v>
      </c>
      <c r="I50" s="31" t="s">
        <v>46</v>
      </c>
      <c r="J50" s="33"/>
    </row>
    <row r="51" customFormat="false" ht="15" hidden="false" customHeight="false" outlineLevel="0" collapsed="false">
      <c r="A51" s="29" t="n">
        <v>50</v>
      </c>
      <c r="B51" s="29" t="s">
        <v>20</v>
      </c>
      <c r="C51" s="35" t="s">
        <v>88</v>
      </c>
      <c r="D51" s="30" t="s">
        <v>97</v>
      </c>
      <c r="E51" s="31" t="s">
        <v>90</v>
      </c>
      <c r="F51" s="31" t="n">
        <v>31.2</v>
      </c>
      <c r="G51" s="32" t="n">
        <f aca="false">305*1.05</f>
        <v>320.25</v>
      </c>
      <c r="H51" s="32" t="n">
        <f aca="false">F51*G51</f>
        <v>9991.8</v>
      </c>
      <c r="I51" s="31" t="s">
        <v>46</v>
      </c>
      <c r="J51" s="33"/>
    </row>
    <row r="52" customFormat="false" ht="15" hidden="false" customHeight="false" outlineLevel="0" collapsed="false">
      <c r="A52" s="29" t="n">
        <v>51</v>
      </c>
      <c r="B52" s="29" t="s">
        <v>20</v>
      </c>
      <c r="C52" s="35" t="s">
        <v>88</v>
      </c>
      <c r="D52" s="30" t="s">
        <v>98</v>
      </c>
      <c r="E52" s="31" t="s">
        <v>90</v>
      </c>
      <c r="F52" s="31" t="n">
        <v>18</v>
      </c>
      <c r="G52" s="32" t="n">
        <f aca="false">305*1.05</f>
        <v>320.25</v>
      </c>
      <c r="H52" s="32" t="n">
        <f aca="false">F52*G52</f>
        <v>5764.5</v>
      </c>
      <c r="I52" s="31" t="s">
        <v>46</v>
      </c>
      <c r="J52" s="33"/>
    </row>
    <row r="53" customFormat="false" ht="15" hidden="false" customHeight="false" outlineLevel="0" collapsed="false">
      <c r="A53" s="29" t="n">
        <v>52</v>
      </c>
      <c r="B53" s="29" t="s">
        <v>20</v>
      </c>
      <c r="C53" s="35" t="s">
        <v>88</v>
      </c>
      <c r="D53" s="30" t="s">
        <v>99</v>
      </c>
      <c r="E53" s="31" t="s">
        <v>90</v>
      </c>
      <c r="F53" s="31" t="n">
        <v>31.16</v>
      </c>
      <c r="G53" s="32" t="n">
        <f aca="false">305*1.05</f>
        <v>320.25</v>
      </c>
      <c r="H53" s="32" t="n">
        <f aca="false">F53*G53</f>
        <v>9978.99</v>
      </c>
      <c r="I53" s="31" t="s">
        <v>46</v>
      </c>
      <c r="J53" s="33"/>
    </row>
    <row r="54" customFormat="false" ht="15" hidden="false" customHeight="false" outlineLevel="0" collapsed="false">
      <c r="A54" s="29" t="n">
        <v>53</v>
      </c>
      <c r="B54" s="29" t="s">
        <v>20</v>
      </c>
      <c r="C54" s="35" t="s">
        <v>88</v>
      </c>
      <c r="D54" s="30" t="s">
        <v>100</v>
      </c>
      <c r="E54" s="31" t="s">
        <v>90</v>
      </c>
      <c r="F54" s="31" t="n">
        <v>15.83</v>
      </c>
      <c r="G54" s="32" t="n">
        <f aca="false">305*1.05</f>
        <v>320.25</v>
      </c>
      <c r="H54" s="32" t="n">
        <f aca="false">F54*G54</f>
        <v>5069.5575</v>
      </c>
      <c r="I54" s="31" t="s">
        <v>46</v>
      </c>
      <c r="J54" s="33"/>
    </row>
    <row r="55" customFormat="false" ht="15" hidden="false" customHeight="false" outlineLevel="0" collapsed="false">
      <c r="A55" s="29" t="n">
        <v>54</v>
      </c>
      <c r="B55" s="29" t="s">
        <v>20</v>
      </c>
      <c r="C55" s="35" t="s">
        <v>88</v>
      </c>
      <c r="D55" s="30" t="s">
        <v>101</v>
      </c>
      <c r="E55" s="31" t="s">
        <v>90</v>
      </c>
      <c r="F55" s="31" t="n">
        <v>15</v>
      </c>
      <c r="G55" s="32" t="n">
        <f aca="false">305*1.05</f>
        <v>320.25</v>
      </c>
      <c r="H55" s="32" t="n">
        <f aca="false">F55*G55</f>
        <v>4803.75</v>
      </c>
      <c r="I55" s="31" t="s">
        <v>46</v>
      </c>
      <c r="J55" s="33" t="s">
        <v>102</v>
      </c>
    </row>
    <row r="56" customFormat="false" ht="15" hidden="false" customHeight="false" outlineLevel="0" collapsed="false">
      <c r="A56" s="29" t="n">
        <v>55</v>
      </c>
      <c r="B56" s="29" t="s">
        <v>20</v>
      </c>
      <c r="C56" s="35" t="s">
        <v>88</v>
      </c>
      <c r="D56" s="30" t="s">
        <v>103</v>
      </c>
      <c r="E56" s="31" t="s">
        <v>90</v>
      </c>
      <c r="F56" s="31" t="n">
        <v>15</v>
      </c>
      <c r="G56" s="32" t="n">
        <f aca="false">305*1.05</f>
        <v>320.25</v>
      </c>
      <c r="H56" s="32" t="n">
        <f aca="false">F56*G56</f>
        <v>4803.75</v>
      </c>
      <c r="I56" s="31" t="s">
        <v>46</v>
      </c>
      <c r="J56" s="33" t="s">
        <v>102</v>
      </c>
    </row>
    <row r="57" customFormat="false" ht="15" hidden="false" customHeight="false" outlineLevel="0" collapsed="false">
      <c r="A57" s="29" t="n">
        <v>56</v>
      </c>
      <c r="B57" s="29" t="s">
        <v>20</v>
      </c>
      <c r="C57" s="35" t="s">
        <v>88</v>
      </c>
      <c r="D57" s="30" t="s">
        <v>104</v>
      </c>
      <c r="E57" s="31" t="s">
        <v>90</v>
      </c>
      <c r="F57" s="31" t="n">
        <v>15</v>
      </c>
      <c r="G57" s="32" t="n">
        <f aca="false">305*1.05</f>
        <v>320.25</v>
      </c>
      <c r="H57" s="32" t="n">
        <f aca="false">F57*G57</f>
        <v>4803.75</v>
      </c>
      <c r="I57" s="31" t="s">
        <v>46</v>
      </c>
      <c r="J57" s="33" t="s">
        <v>102</v>
      </c>
    </row>
    <row r="58" customFormat="false" ht="15" hidden="false" customHeight="false" outlineLevel="0" collapsed="false">
      <c r="A58" s="29" t="n">
        <v>57</v>
      </c>
      <c r="B58" s="29" t="s">
        <v>20</v>
      </c>
      <c r="C58" s="35" t="s">
        <v>88</v>
      </c>
      <c r="D58" s="30" t="s">
        <v>105</v>
      </c>
      <c r="E58" s="31" t="s">
        <v>90</v>
      </c>
      <c r="F58" s="31" t="n">
        <v>30</v>
      </c>
      <c r="G58" s="32" t="n">
        <f aca="false">305*1.05</f>
        <v>320.25</v>
      </c>
      <c r="H58" s="32" t="n">
        <f aca="false">F58*G58</f>
        <v>9607.5</v>
      </c>
      <c r="I58" s="31" t="s">
        <v>46</v>
      </c>
      <c r="J58" s="33" t="s">
        <v>102</v>
      </c>
    </row>
    <row r="59" customFormat="false" ht="15" hidden="false" customHeight="false" outlineLevel="0" collapsed="false">
      <c r="A59" s="29" t="n">
        <v>58</v>
      </c>
      <c r="B59" s="29" t="s">
        <v>20</v>
      </c>
      <c r="C59" s="35" t="s">
        <v>88</v>
      </c>
      <c r="D59" s="30" t="s">
        <v>106</v>
      </c>
      <c r="E59" s="31" t="s">
        <v>90</v>
      </c>
      <c r="F59" s="31" t="n">
        <v>30</v>
      </c>
      <c r="G59" s="32" t="n">
        <f aca="false">305*1.05</f>
        <v>320.25</v>
      </c>
      <c r="H59" s="32" t="n">
        <f aca="false">F59*G59</f>
        <v>9607.5</v>
      </c>
      <c r="I59" s="31" t="s">
        <v>46</v>
      </c>
      <c r="J59" s="33" t="s">
        <v>102</v>
      </c>
    </row>
    <row r="60" customFormat="false" ht="15" hidden="false" customHeight="false" outlineLevel="0" collapsed="false">
      <c r="A60" s="29" t="n">
        <v>59</v>
      </c>
      <c r="B60" s="29" t="s">
        <v>20</v>
      </c>
      <c r="C60" s="35" t="s">
        <v>88</v>
      </c>
      <c r="D60" s="30" t="s">
        <v>107</v>
      </c>
      <c r="E60" s="31" t="s">
        <v>90</v>
      </c>
      <c r="F60" s="31" t="n">
        <v>5.2</v>
      </c>
      <c r="G60" s="32" t="n">
        <f aca="false">290*1.05</f>
        <v>304.5</v>
      </c>
      <c r="H60" s="32" t="n">
        <f aca="false">F60*G60</f>
        <v>1583.4</v>
      </c>
      <c r="I60" s="31" t="s">
        <v>108</v>
      </c>
      <c r="J60" s="33"/>
    </row>
    <row r="61" customFormat="false" ht="15" hidden="false" customHeight="false" outlineLevel="0" collapsed="false">
      <c r="A61" s="29" t="n">
        <v>60</v>
      </c>
      <c r="B61" s="29" t="s">
        <v>20</v>
      </c>
      <c r="C61" s="35" t="s">
        <v>88</v>
      </c>
      <c r="D61" s="30" t="s">
        <v>109</v>
      </c>
      <c r="E61" s="31" t="s">
        <v>90</v>
      </c>
      <c r="F61" s="31" t="n">
        <v>5</v>
      </c>
      <c r="G61" s="32" t="n">
        <f aca="false">290*1.05</f>
        <v>304.5</v>
      </c>
      <c r="H61" s="32" t="n">
        <f aca="false">F61*G61</f>
        <v>1522.5</v>
      </c>
      <c r="I61" s="31" t="s">
        <v>108</v>
      </c>
      <c r="J61" s="33"/>
    </row>
    <row r="62" customFormat="false" ht="15" hidden="false" customHeight="false" outlineLevel="0" collapsed="false">
      <c r="A62" s="29" t="n">
        <v>61</v>
      </c>
      <c r="B62" s="29" t="s">
        <v>20</v>
      </c>
      <c r="C62" s="35" t="s">
        <v>88</v>
      </c>
      <c r="D62" s="30" t="s">
        <v>110</v>
      </c>
      <c r="E62" s="31" t="s">
        <v>90</v>
      </c>
      <c r="F62" s="31" t="n">
        <v>18</v>
      </c>
      <c r="G62" s="32" t="n">
        <f aca="false">290*1.05</f>
        <v>304.5</v>
      </c>
      <c r="H62" s="32" t="n">
        <f aca="false">F62*G62</f>
        <v>5481</v>
      </c>
      <c r="I62" s="31" t="s">
        <v>108</v>
      </c>
      <c r="J62" s="33"/>
    </row>
    <row r="63" customFormat="false" ht="15" hidden="false" customHeight="false" outlineLevel="0" collapsed="false">
      <c r="A63" s="29" t="n">
        <v>62</v>
      </c>
      <c r="B63" s="29" t="s">
        <v>20</v>
      </c>
      <c r="C63" s="35" t="s">
        <v>88</v>
      </c>
      <c r="D63" s="30" t="s">
        <v>111</v>
      </c>
      <c r="E63" s="31" t="s">
        <v>90</v>
      </c>
      <c r="F63" s="31" t="n">
        <v>5.4</v>
      </c>
      <c r="G63" s="32" t="n">
        <f aca="false">290*1.05</f>
        <v>304.5</v>
      </c>
      <c r="H63" s="32" t="n">
        <f aca="false">F63*G63</f>
        <v>1644.3</v>
      </c>
      <c r="I63" s="31" t="s">
        <v>108</v>
      </c>
      <c r="J63" s="33"/>
    </row>
    <row r="64" customFormat="false" ht="15" hidden="false" customHeight="false" outlineLevel="0" collapsed="false">
      <c r="A64" s="29" t="n">
        <v>63</v>
      </c>
      <c r="B64" s="29" t="s">
        <v>20</v>
      </c>
      <c r="C64" s="35" t="s">
        <v>88</v>
      </c>
      <c r="D64" s="30" t="s">
        <v>112</v>
      </c>
      <c r="E64" s="31" t="s">
        <v>90</v>
      </c>
      <c r="F64" s="31" t="n">
        <v>15.61</v>
      </c>
      <c r="G64" s="32" t="n">
        <f aca="false">290*1.05</f>
        <v>304.5</v>
      </c>
      <c r="H64" s="32" t="n">
        <f aca="false">F64*G64</f>
        <v>4753.245</v>
      </c>
      <c r="I64" s="31" t="s">
        <v>108</v>
      </c>
      <c r="J64" s="33"/>
    </row>
    <row r="65" customFormat="false" ht="15" hidden="false" customHeight="false" outlineLevel="0" collapsed="false">
      <c r="A65" s="29" t="n">
        <v>64</v>
      </c>
      <c r="B65" s="29" t="s">
        <v>20</v>
      </c>
      <c r="C65" s="35" t="s">
        <v>88</v>
      </c>
      <c r="D65" s="30" t="s">
        <v>113</v>
      </c>
      <c r="E65" s="31" t="s">
        <v>90</v>
      </c>
      <c r="F65" s="31" t="n">
        <v>41</v>
      </c>
      <c r="G65" s="32" t="n">
        <f aca="false">290*1.05</f>
        <v>304.5</v>
      </c>
      <c r="H65" s="32" t="n">
        <f aca="false">F65*G65</f>
        <v>12484.5</v>
      </c>
      <c r="I65" s="31" t="s">
        <v>108</v>
      </c>
      <c r="J65" s="33"/>
    </row>
    <row r="66" customFormat="false" ht="15" hidden="false" customHeight="false" outlineLevel="0" collapsed="false">
      <c r="A66" s="29" t="n">
        <v>65</v>
      </c>
      <c r="B66" s="29" t="s">
        <v>20</v>
      </c>
      <c r="C66" s="35" t="s">
        <v>88</v>
      </c>
      <c r="D66" s="30" t="s">
        <v>114</v>
      </c>
      <c r="E66" s="31" t="s">
        <v>90</v>
      </c>
      <c r="F66" s="31" t="n">
        <v>14</v>
      </c>
      <c r="G66" s="32" t="n">
        <f aca="false">290*1.05</f>
        <v>304.5</v>
      </c>
      <c r="H66" s="32" t="n">
        <f aca="false">F66*G66</f>
        <v>4263</v>
      </c>
      <c r="I66" s="31" t="s">
        <v>108</v>
      </c>
      <c r="J66" s="33"/>
    </row>
    <row r="67" customFormat="false" ht="15" hidden="false" customHeight="false" outlineLevel="0" collapsed="false">
      <c r="A67" s="29" t="n">
        <v>66</v>
      </c>
      <c r="B67" s="29" t="s">
        <v>20</v>
      </c>
      <c r="C67" s="35" t="s">
        <v>88</v>
      </c>
      <c r="D67" s="30" t="s">
        <v>115</v>
      </c>
      <c r="E67" s="31" t="s">
        <v>90</v>
      </c>
      <c r="F67" s="31" t="n">
        <v>6.7</v>
      </c>
      <c r="G67" s="32" t="n">
        <f aca="false">290*1.05</f>
        <v>304.5</v>
      </c>
      <c r="H67" s="32" t="n">
        <f aca="false">F67*G67</f>
        <v>2040.15</v>
      </c>
      <c r="I67" s="31" t="s">
        <v>108</v>
      </c>
      <c r="J67" s="33"/>
    </row>
    <row r="68" customFormat="false" ht="15" hidden="false" customHeight="false" outlineLevel="0" collapsed="false">
      <c r="A68" s="29" t="n">
        <v>67</v>
      </c>
      <c r="B68" s="29" t="s">
        <v>20</v>
      </c>
      <c r="C68" s="35" t="s">
        <v>88</v>
      </c>
      <c r="D68" s="30" t="s">
        <v>116</v>
      </c>
      <c r="E68" s="31" t="s">
        <v>90</v>
      </c>
      <c r="F68" s="31" t="n">
        <v>15</v>
      </c>
      <c r="G68" s="32" t="n">
        <f aca="false">290*1.05</f>
        <v>304.5</v>
      </c>
      <c r="H68" s="32" t="n">
        <f aca="false">F68*G68</f>
        <v>4567.5</v>
      </c>
      <c r="I68" s="31" t="s">
        <v>108</v>
      </c>
      <c r="J68" s="33"/>
    </row>
    <row r="69" customFormat="false" ht="15" hidden="false" customHeight="false" outlineLevel="0" collapsed="false">
      <c r="A69" s="29" t="n">
        <v>68</v>
      </c>
      <c r="B69" s="29" t="s">
        <v>20</v>
      </c>
      <c r="C69" s="35" t="s">
        <v>88</v>
      </c>
      <c r="D69" s="30" t="s">
        <v>117</v>
      </c>
      <c r="E69" s="31" t="s">
        <v>90</v>
      </c>
      <c r="F69" s="31" t="n">
        <v>42.52</v>
      </c>
      <c r="G69" s="32" t="n">
        <f aca="false">290*1.05</f>
        <v>304.5</v>
      </c>
      <c r="H69" s="32" t="n">
        <f aca="false">F69*G69</f>
        <v>12947.34</v>
      </c>
      <c r="I69" s="31" t="s">
        <v>108</v>
      </c>
      <c r="J69" s="33"/>
    </row>
    <row r="70" customFormat="false" ht="15" hidden="false" customHeight="false" outlineLevel="0" collapsed="false">
      <c r="A70" s="29" t="n">
        <v>69</v>
      </c>
      <c r="B70" s="29" t="s">
        <v>20</v>
      </c>
      <c r="C70" s="35" t="s">
        <v>88</v>
      </c>
      <c r="D70" s="30" t="s">
        <v>118</v>
      </c>
      <c r="E70" s="31" t="s">
        <v>90</v>
      </c>
      <c r="F70" s="31" t="n">
        <v>7</v>
      </c>
      <c r="G70" s="32" t="n">
        <f aca="false">290*1.05</f>
        <v>304.5</v>
      </c>
      <c r="H70" s="32" t="n">
        <f aca="false">F70*G70</f>
        <v>2131.5</v>
      </c>
      <c r="I70" s="31" t="s">
        <v>108</v>
      </c>
      <c r="J70" s="33"/>
    </row>
    <row r="71" customFormat="false" ht="15" hidden="false" customHeight="false" outlineLevel="0" collapsed="false">
      <c r="A71" s="29" t="n">
        <v>70</v>
      </c>
      <c r="B71" s="29" t="s">
        <v>20</v>
      </c>
      <c r="C71" s="35" t="s">
        <v>88</v>
      </c>
      <c r="D71" s="30" t="s">
        <v>119</v>
      </c>
      <c r="E71" s="31" t="s">
        <v>90</v>
      </c>
      <c r="F71" s="31" t="n">
        <v>59.6</v>
      </c>
      <c r="G71" s="32" t="n">
        <f aca="false">290*1.05</f>
        <v>304.5</v>
      </c>
      <c r="H71" s="32" t="n">
        <f aca="false">F71*G71</f>
        <v>18148.2</v>
      </c>
      <c r="I71" s="31" t="s">
        <v>108</v>
      </c>
      <c r="J71" s="33"/>
    </row>
    <row r="72" customFormat="false" ht="15" hidden="false" customHeight="false" outlineLevel="0" collapsed="false">
      <c r="A72" s="29" t="n">
        <v>71</v>
      </c>
      <c r="B72" s="29" t="s">
        <v>20</v>
      </c>
      <c r="C72" s="35" t="s">
        <v>88</v>
      </c>
      <c r="D72" s="30" t="s">
        <v>120</v>
      </c>
      <c r="E72" s="31" t="s">
        <v>90</v>
      </c>
      <c r="F72" s="31" t="n">
        <v>5</v>
      </c>
      <c r="G72" s="32" t="n">
        <f aca="false">290*1.05</f>
        <v>304.5</v>
      </c>
      <c r="H72" s="32" t="n">
        <f aca="false">F72*G72</f>
        <v>1522.5</v>
      </c>
      <c r="I72" s="31" t="s">
        <v>108</v>
      </c>
      <c r="J72" s="33"/>
    </row>
    <row r="73" customFormat="false" ht="15" hidden="false" customHeight="false" outlineLevel="0" collapsed="false">
      <c r="A73" s="29" t="n">
        <v>72</v>
      </c>
      <c r="B73" s="29" t="s">
        <v>20</v>
      </c>
      <c r="C73" s="35" t="s">
        <v>88</v>
      </c>
      <c r="D73" s="30" t="s">
        <v>121</v>
      </c>
      <c r="E73" s="31" t="s">
        <v>90</v>
      </c>
      <c r="F73" s="31" t="n">
        <v>15</v>
      </c>
      <c r="G73" s="32" t="n">
        <f aca="false">290*1.05</f>
        <v>304.5</v>
      </c>
      <c r="H73" s="32" t="n">
        <f aca="false">F73*G73</f>
        <v>4567.5</v>
      </c>
      <c r="I73" s="31" t="s">
        <v>108</v>
      </c>
      <c r="J73" s="33"/>
    </row>
    <row r="74" customFormat="false" ht="15" hidden="false" customHeight="false" outlineLevel="0" collapsed="false">
      <c r="A74" s="29" t="n">
        <v>73</v>
      </c>
      <c r="B74" s="29" t="s">
        <v>20</v>
      </c>
      <c r="C74" s="35" t="s">
        <v>88</v>
      </c>
      <c r="D74" s="30" t="s">
        <v>122</v>
      </c>
      <c r="E74" s="31" t="s">
        <v>90</v>
      </c>
      <c r="F74" s="31" t="n">
        <v>6</v>
      </c>
      <c r="G74" s="32" t="n">
        <f aca="false">290*1.05</f>
        <v>304.5</v>
      </c>
      <c r="H74" s="32" t="n">
        <f aca="false">F74*G74</f>
        <v>1827</v>
      </c>
      <c r="I74" s="31" t="s">
        <v>108</v>
      </c>
      <c r="J74" s="33"/>
    </row>
    <row r="75" customFormat="false" ht="15" hidden="false" customHeight="false" outlineLevel="0" collapsed="false">
      <c r="A75" s="29" t="n">
        <v>74</v>
      </c>
      <c r="B75" s="29" t="s">
        <v>20</v>
      </c>
      <c r="C75" s="35" t="s">
        <v>88</v>
      </c>
      <c r="D75" s="30" t="s">
        <v>123</v>
      </c>
      <c r="E75" s="31" t="s">
        <v>90</v>
      </c>
      <c r="F75" s="31" t="n">
        <v>23.66</v>
      </c>
      <c r="G75" s="32" t="n">
        <f aca="false">290*1.05</f>
        <v>304.5</v>
      </c>
      <c r="H75" s="32" t="n">
        <f aca="false">F75*G75</f>
        <v>7204.47</v>
      </c>
      <c r="I75" s="31" t="s">
        <v>108</v>
      </c>
      <c r="J75" s="33"/>
    </row>
    <row r="76" customFormat="false" ht="15" hidden="false" customHeight="false" outlineLevel="0" collapsed="false">
      <c r="A76" s="29" t="n">
        <v>75</v>
      </c>
      <c r="B76" s="29" t="s">
        <v>20</v>
      </c>
      <c r="C76" s="35" t="s">
        <v>88</v>
      </c>
      <c r="D76" s="30" t="s">
        <v>124</v>
      </c>
      <c r="E76" s="31" t="s">
        <v>90</v>
      </c>
      <c r="F76" s="31" t="n">
        <v>20.2</v>
      </c>
      <c r="G76" s="32" t="n">
        <f aca="false">290*1.05</f>
        <v>304.5</v>
      </c>
      <c r="H76" s="32" t="n">
        <f aca="false">F76*G76</f>
        <v>6150.9</v>
      </c>
      <c r="I76" s="31" t="s">
        <v>108</v>
      </c>
      <c r="J76" s="33"/>
    </row>
    <row r="77" customFormat="false" ht="15" hidden="false" customHeight="false" outlineLevel="0" collapsed="false">
      <c r="A77" s="29" t="n">
        <v>76</v>
      </c>
      <c r="B77" s="29" t="s">
        <v>20</v>
      </c>
      <c r="C77" s="35" t="s">
        <v>88</v>
      </c>
      <c r="D77" s="30" t="s">
        <v>125</v>
      </c>
      <c r="E77" s="31" t="s">
        <v>90</v>
      </c>
      <c r="F77" s="31" t="n">
        <v>26.95</v>
      </c>
      <c r="G77" s="32" t="n">
        <f aca="false">290*1.05</f>
        <v>304.5</v>
      </c>
      <c r="H77" s="32" t="n">
        <f aca="false">F77*G77</f>
        <v>8206.275</v>
      </c>
      <c r="I77" s="31" t="s">
        <v>108</v>
      </c>
      <c r="J77" s="33"/>
    </row>
    <row r="78" customFormat="false" ht="15" hidden="false" customHeight="false" outlineLevel="0" collapsed="false">
      <c r="A78" s="29" t="n">
        <v>77</v>
      </c>
      <c r="B78" s="29" t="s">
        <v>20</v>
      </c>
      <c r="C78" s="35" t="s">
        <v>88</v>
      </c>
      <c r="D78" s="30" t="s">
        <v>126</v>
      </c>
      <c r="E78" s="31" t="s">
        <v>90</v>
      </c>
      <c r="F78" s="31" t="n">
        <v>54.7</v>
      </c>
      <c r="G78" s="32" t="n">
        <f aca="false">290*1.05</f>
        <v>304.5</v>
      </c>
      <c r="H78" s="32" t="n">
        <f aca="false">F78*G78</f>
        <v>16656.15</v>
      </c>
      <c r="I78" s="31" t="s">
        <v>108</v>
      </c>
      <c r="J78" s="33"/>
    </row>
    <row r="79" customFormat="false" ht="15" hidden="false" customHeight="false" outlineLevel="0" collapsed="false">
      <c r="A79" s="29" t="n">
        <v>78</v>
      </c>
      <c r="B79" s="29" t="s">
        <v>20</v>
      </c>
      <c r="C79" s="35" t="s">
        <v>88</v>
      </c>
      <c r="D79" s="30" t="s">
        <v>127</v>
      </c>
      <c r="E79" s="31" t="s">
        <v>90</v>
      </c>
      <c r="F79" s="31" t="n">
        <v>24.36</v>
      </c>
      <c r="G79" s="32" t="n">
        <f aca="false">290*1.05</f>
        <v>304.5</v>
      </c>
      <c r="H79" s="32" t="n">
        <f aca="false">F79*G79</f>
        <v>7417.62</v>
      </c>
      <c r="I79" s="31" t="s">
        <v>108</v>
      </c>
      <c r="J79" s="33"/>
    </row>
    <row r="80" customFormat="false" ht="15" hidden="false" customHeight="false" outlineLevel="0" collapsed="false">
      <c r="A80" s="29" t="n">
        <v>79</v>
      </c>
      <c r="B80" s="29" t="s">
        <v>20</v>
      </c>
      <c r="C80" s="35" t="s">
        <v>88</v>
      </c>
      <c r="D80" s="30" t="s">
        <v>128</v>
      </c>
      <c r="E80" s="31" t="s">
        <v>90</v>
      </c>
      <c r="F80" s="31" t="n">
        <v>11.3</v>
      </c>
      <c r="G80" s="32" t="n">
        <f aca="false">290*1.05</f>
        <v>304.5</v>
      </c>
      <c r="H80" s="32" t="n">
        <f aca="false">F80*G80</f>
        <v>3440.85</v>
      </c>
      <c r="I80" s="31" t="s">
        <v>108</v>
      </c>
      <c r="J80" s="33"/>
    </row>
    <row r="81" customFormat="false" ht="15" hidden="false" customHeight="false" outlineLevel="0" collapsed="false">
      <c r="A81" s="29" t="n">
        <v>80</v>
      </c>
      <c r="B81" s="29" t="s">
        <v>20</v>
      </c>
      <c r="C81" s="35" t="s">
        <v>88</v>
      </c>
      <c r="D81" s="30" t="s">
        <v>129</v>
      </c>
      <c r="E81" s="31" t="s">
        <v>90</v>
      </c>
      <c r="F81" s="31" t="n">
        <v>7</v>
      </c>
      <c r="G81" s="32" t="n">
        <f aca="false">290*1.05</f>
        <v>304.5</v>
      </c>
      <c r="H81" s="32" t="n">
        <f aca="false">F81*G81</f>
        <v>2131.5</v>
      </c>
      <c r="I81" s="31" t="s">
        <v>108</v>
      </c>
      <c r="J81" s="33"/>
    </row>
    <row r="82" customFormat="false" ht="15" hidden="false" customHeight="false" outlineLevel="0" collapsed="false">
      <c r="A82" s="29" t="n">
        <v>81</v>
      </c>
      <c r="B82" s="29" t="s">
        <v>20</v>
      </c>
      <c r="C82" s="35" t="s">
        <v>88</v>
      </c>
      <c r="D82" s="30" t="s">
        <v>130</v>
      </c>
      <c r="E82" s="31" t="s">
        <v>90</v>
      </c>
      <c r="F82" s="31" t="n">
        <v>44.2</v>
      </c>
      <c r="G82" s="32" t="n">
        <f aca="false">290*1.05</f>
        <v>304.5</v>
      </c>
      <c r="H82" s="32" t="n">
        <f aca="false">F82*G82</f>
        <v>13458.9</v>
      </c>
      <c r="I82" s="31" t="s">
        <v>108</v>
      </c>
      <c r="J82" s="33"/>
    </row>
    <row r="83" customFormat="false" ht="15" hidden="false" customHeight="false" outlineLevel="0" collapsed="false">
      <c r="A83" s="29" t="n">
        <v>82</v>
      </c>
      <c r="B83" s="29" t="s">
        <v>20</v>
      </c>
      <c r="C83" s="35" t="s">
        <v>88</v>
      </c>
      <c r="D83" s="30" t="s">
        <v>131</v>
      </c>
      <c r="E83" s="31" t="s">
        <v>90</v>
      </c>
      <c r="F83" s="31" t="n">
        <v>14.5</v>
      </c>
      <c r="G83" s="32" t="n">
        <f aca="false">290*1.05</f>
        <v>304.5</v>
      </c>
      <c r="H83" s="32" t="n">
        <f aca="false">F83*G83</f>
        <v>4415.25</v>
      </c>
      <c r="I83" s="31" t="s">
        <v>108</v>
      </c>
      <c r="J83" s="33"/>
    </row>
    <row r="84" customFormat="false" ht="15" hidden="false" customHeight="false" outlineLevel="0" collapsed="false">
      <c r="A84" s="29" t="n">
        <v>83</v>
      </c>
      <c r="B84" s="29" t="s">
        <v>20</v>
      </c>
      <c r="C84" s="35" t="s">
        <v>88</v>
      </c>
      <c r="D84" s="30" t="s">
        <v>132</v>
      </c>
      <c r="E84" s="31" t="s">
        <v>90</v>
      </c>
      <c r="F84" s="31" t="n">
        <v>29.2</v>
      </c>
      <c r="G84" s="32" t="n">
        <f aca="false">290*1.05</f>
        <v>304.5</v>
      </c>
      <c r="H84" s="32" t="n">
        <f aca="false">F84*G84</f>
        <v>8891.4</v>
      </c>
      <c r="I84" s="31" t="s">
        <v>108</v>
      </c>
      <c r="J84" s="33"/>
    </row>
    <row r="85" customFormat="false" ht="15" hidden="false" customHeight="false" outlineLevel="0" collapsed="false">
      <c r="A85" s="29" t="n">
        <v>84</v>
      </c>
      <c r="B85" s="29" t="s">
        <v>20</v>
      </c>
      <c r="C85" s="35" t="s">
        <v>88</v>
      </c>
      <c r="D85" s="30" t="s">
        <v>133</v>
      </c>
      <c r="E85" s="31" t="s">
        <v>90</v>
      </c>
      <c r="F85" s="31" t="n">
        <v>24.4</v>
      </c>
      <c r="G85" s="32" t="n">
        <f aca="false">290*1.05</f>
        <v>304.5</v>
      </c>
      <c r="H85" s="32" t="n">
        <f aca="false">F85*G85</f>
        <v>7429.8</v>
      </c>
      <c r="I85" s="31" t="s">
        <v>108</v>
      </c>
      <c r="J85" s="33"/>
    </row>
    <row r="86" customFormat="false" ht="15" hidden="false" customHeight="false" outlineLevel="0" collapsed="false">
      <c r="A86" s="29" t="n">
        <v>85</v>
      </c>
      <c r="B86" s="29" t="s">
        <v>20</v>
      </c>
      <c r="C86" s="35" t="s">
        <v>88</v>
      </c>
      <c r="D86" s="30" t="s">
        <v>134</v>
      </c>
      <c r="E86" s="31" t="s">
        <v>90</v>
      </c>
      <c r="F86" s="31" t="n">
        <v>27.3</v>
      </c>
      <c r="G86" s="32" t="n">
        <f aca="false">290*1.05</f>
        <v>304.5</v>
      </c>
      <c r="H86" s="32" t="n">
        <f aca="false">F86*G86</f>
        <v>8312.85</v>
      </c>
      <c r="I86" s="31" t="s">
        <v>108</v>
      </c>
      <c r="J86" s="33"/>
    </row>
    <row r="87" customFormat="false" ht="15" hidden="false" customHeight="false" outlineLevel="0" collapsed="false">
      <c r="A87" s="29" t="n">
        <v>86</v>
      </c>
      <c r="B87" s="29" t="s">
        <v>20</v>
      </c>
      <c r="C87" s="35" t="s">
        <v>88</v>
      </c>
      <c r="D87" s="30" t="s">
        <v>135</v>
      </c>
      <c r="E87" s="31" t="s">
        <v>90</v>
      </c>
      <c r="F87" s="31" t="n">
        <v>44.37</v>
      </c>
      <c r="G87" s="32" t="n">
        <f aca="false">290*1.05</f>
        <v>304.5</v>
      </c>
      <c r="H87" s="32" t="n">
        <f aca="false">F87*G87</f>
        <v>13510.665</v>
      </c>
      <c r="I87" s="31" t="s">
        <v>108</v>
      </c>
      <c r="J87" s="33"/>
    </row>
    <row r="88" customFormat="false" ht="15" hidden="false" customHeight="false" outlineLevel="0" collapsed="false">
      <c r="A88" s="29" t="n">
        <v>87</v>
      </c>
      <c r="B88" s="29" t="s">
        <v>20</v>
      </c>
      <c r="C88" s="35" t="s">
        <v>88</v>
      </c>
      <c r="D88" s="30" t="s">
        <v>136</v>
      </c>
      <c r="E88" s="31" t="s">
        <v>90</v>
      </c>
      <c r="F88" s="31" t="n">
        <v>25.24</v>
      </c>
      <c r="G88" s="32" t="n">
        <f aca="false">290*1.05</f>
        <v>304.5</v>
      </c>
      <c r="H88" s="32" t="n">
        <f aca="false">F88*G88</f>
        <v>7685.58</v>
      </c>
      <c r="I88" s="31" t="s">
        <v>108</v>
      </c>
      <c r="J88" s="33"/>
    </row>
    <row r="89" customFormat="false" ht="15" hidden="false" customHeight="false" outlineLevel="0" collapsed="false">
      <c r="A89" s="29" t="n">
        <v>88</v>
      </c>
      <c r="B89" s="29" t="s">
        <v>20</v>
      </c>
      <c r="C89" s="35" t="s">
        <v>88</v>
      </c>
      <c r="D89" s="30" t="s">
        <v>137</v>
      </c>
      <c r="E89" s="31" t="s">
        <v>90</v>
      </c>
      <c r="F89" s="31" t="n">
        <v>40.52</v>
      </c>
      <c r="G89" s="32" t="n">
        <f aca="false">290*1.05</f>
        <v>304.5</v>
      </c>
      <c r="H89" s="32" t="n">
        <f aca="false">F89*G89</f>
        <v>12338.34</v>
      </c>
      <c r="I89" s="31" t="s">
        <v>108</v>
      </c>
      <c r="J89" s="33"/>
    </row>
    <row r="90" customFormat="false" ht="15" hidden="false" customHeight="false" outlineLevel="0" collapsed="false">
      <c r="A90" s="29" t="n">
        <v>89</v>
      </c>
      <c r="B90" s="29" t="s">
        <v>20</v>
      </c>
      <c r="C90" s="35" t="s">
        <v>88</v>
      </c>
      <c r="D90" s="30" t="s">
        <v>138</v>
      </c>
      <c r="E90" s="31" t="s">
        <v>90</v>
      </c>
      <c r="F90" s="31" t="n">
        <v>18.6</v>
      </c>
      <c r="G90" s="32" t="n">
        <f aca="false">290*1.05</f>
        <v>304.5</v>
      </c>
      <c r="H90" s="32" t="n">
        <f aca="false">F90*G90</f>
        <v>5663.7</v>
      </c>
      <c r="I90" s="31" t="s">
        <v>108</v>
      </c>
      <c r="J90" s="33"/>
    </row>
    <row r="91" customFormat="false" ht="15" hidden="false" customHeight="false" outlineLevel="0" collapsed="false">
      <c r="A91" s="29" t="n">
        <v>90</v>
      </c>
      <c r="B91" s="29" t="s">
        <v>20</v>
      </c>
      <c r="C91" s="35" t="s">
        <v>88</v>
      </c>
      <c r="D91" s="30" t="s">
        <v>139</v>
      </c>
      <c r="E91" s="31" t="s">
        <v>90</v>
      </c>
      <c r="F91" s="31" t="n">
        <v>29.4</v>
      </c>
      <c r="G91" s="32" t="n">
        <f aca="false">290*1.05</f>
        <v>304.5</v>
      </c>
      <c r="H91" s="32" t="n">
        <f aca="false">F91*G91</f>
        <v>8952.3</v>
      </c>
      <c r="I91" s="31" t="s">
        <v>108</v>
      </c>
      <c r="J91" s="33"/>
    </row>
    <row r="92" customFormat="false" ht="15" hidden="false" customHeight="false" outlineLevel="0" collapsed="false">
      <c r="A92" s="29" t="n">
        <v>91</v>
      </c>
      <c r="B92" s="29" t="s">
        <v>20</v>
      </c>
      <c r="C92" s="35" t="s">
        <v>88</v>
      </c>
      <c r="D92" s="30" t="s">
        <v>140</v>
      </c>
      <c r="E92" s="31" t="s">
        <v>90</v>
      </c>
      <c r="F92" s="31" t="n">
        <v>31.6</v>
      </c>
      <c r="G92" s="32" t="n">
        <f aca="false">290*1.05</f>
        <v>304.5</v>
      </c>
      <c r="H92" s="32" t="n">
        <f aca="false">F92*G92</f>
        <v>9622.2</v>
      </c>
      <c r="I92" s="31" t="s">
        <v>108</v>
      </c>
      <c r="J92" s="33"/>
    </row>
    <row r="93" customFormat="false" ht="15" hidden="false" customHeight="false" outlineLevel="0" collapsed="false">
      <c r="A93" s="29" t="n">
        <v>92</v>
      </c>
      <c r="B93" s="29" t="s">
        <v>20</v>
      </c>
      <c r="C93" s="35" t="s">
        <v>88</v>
      </c>
      <c r="D93" s="30" t="s">
        <v>141</v>
      </c>
      <c r="E93" s="31" t="s">
        <v>90</v>
      </c>
      <c r="F93" s="31" t="n">
        <v>59.92</v>
      </c>
      <c r="G93" s="32" t="n">
        <f aca="false">290*1.05</f>
        <v>304.5</v>
      </c>
      <c r="H93" s="32" t="n">
        <f aca="false">F93*G93</f>
        <v>18245.64</v>
      </c>
      <c r="I93" s="31" t="s">
        <v>108</v>
      </c>
      <c r="J93" s="33"/>
    </row>
    <row r="94" customFormat="false" ht="15" hidden="false" customHeight="false" outlineLevel="0" collapsed="false">
      <c r="A94" s="29" t="n">
        <v>93</v>
      </c>
      <c r="B94" s="29" t="s">
        <v>20</v>
      </c>
      <c r="C94" s="35" t="s">
        <v>88</v>
      </c>
      <c r="D94" s="30" t="s">
        <v>142</v>
      </c>
      <c r="E94" s="31" t="s">
        <v>90</v>
      </c>
      <c r="F94" s="31" t="n">
        <v>31.5</v>
      </c>
      <c r="G94" s="32" t="n">
        <f aca="false">290*1.05</f>
        <v>304.5</v>
      </c>
      <c r="H94" s="32" t="n">
        <f aca="false">F94*G94</f>
        <v>9591.75</v>
      </c>
      <c r="I94" s="31" t="s">
        <v>108</v>
      </c>
      <c r="J94" s="33"/>
    </row>
    <row r="95" customFormat="false" ht="15" hidden="false" customHeight="false" outlineLevel="0" collapsed="false">
      <c r="A95" s="29" t="n">
        <v>94</v>
      </c>
      <c r="B95" s="29" t="s">
        <v>20</v>
      </c>
      <c r="C95" s="35" t="s">
        <v>88</v>
      </c>
      <c r="D95" s="30" t="s">
        <v>143</v>
      </c>
      <c r="E95" s="31" t="s">
        <v>90</v>
      </c>
      <c r="F95" s="31" t="n">
        <v>42.4</v>
      </c>
      <c r="G95" s="32" t="n">
        <f aca="false">290*1.05</f>
        <v>304.5</v>
      </c>
      <c r="H95" s="32" t="n">
        <f aca="false">F95*G95</f>
        <v>12910.8</v>
      </c>
      <c r="I95" s="31" t="s">
        <v>108</v>
      </c>
      <c r="J95" s="33"/>
    </row>
    <row r="96" customFormat="false" ht="15" hidden="false" customHeight="false" outlineLevel="0" collapsed="false">
      <c r="A96" s="29" t="n">
        <v>95</v>
      </c>
      <c r="B96" s="29" t="s">
        <v>20</v>
      </c>
      <c r="C96" s="35" t="s">
        <v>88</v>
      </c>
      <c r="D96" s="30" t="s">
        <v>144</v>
      </c>
      <c r="E96" s="31" t="s">
        <v>90</v>
      </c>
      <c r="F96" s="31" t="n">
        <v>26</v>
      </c>
      <c r="G96" s="32" t="n">
        <f aca="false">290*1.05</f>
        <v>304.5</v>
      </c>
      <c r="H96" s="32" t="n">
        <f aca="false">F96*G96</f>
        <v>7917</v>
      </c>
      <c r="I96" s="31" t="s">
        <v>108</v>
      </c>
      <c r="J96" s="33"/>
    </row>
    <row r="97" customFormat="false" ht="15" hidden="false" customHeight="false" outlineLevel="0" collapsed="false">
      <c r="A97" s="29" t="n">
        <v>96</v>
      </c>
      <c r="B97" s="29" t="s">
        <v>20</v>
      </c>
      <c r="C97" s="35" t="s">
        <v>88</v>
      </c>
      <c r="D97" s="30" t="s">
        <v>145</v>
      </c>
      <c r="E97" s="31" t="s">
        <v>90</v>
      </c>
      <c r="F97" s="31" t="n">
        <v>23</v>
      </c>
      <c r="G97" s="32" t="n">
        <f aca="false">290*1.05</f>
        <v>304.5</v>
      </c>
      <c r="H97" s="32" t="n">
        <f aca="false">F97*G97</f>
        <v>7003.5</v>
      </c>
      <c r="I97" s="31" t="s">
        <v>108</v>
      </c>
      <c r="J97" s="33"/>
    </row>
    <row r="98" customFormat="false" ht="15" hidden="false" customHeight="false" outlineLevel="0" collapsed="false">
      <c r="A98" s="29" t="n">
        <v>97</v>
      </c>
      <c r="B98" s="29" t="s">
        <v>20</v>
      </c>
      <c r="C98" s="35" t="s">
        <v>88</v>
      </c>
      <c r="D98" s="30" t="s">
        <v>146</v>
      </c>
      <c r="E98" s="31" t="s">
        <v>90</v>
      </c>
      <c r="F98" s="31" t="n">
        <v>11</v>
      </c>
      <c r="G98" s="32" t="n">
        <f aca="false">290*1.05</f>
        <v>304.5</v>
      </c>
      <c r="H98" s="32" t="n">
        <f aca="false">F98*G98</f>
        <v>3349.5</v>
      </c>
      <c r="I98" s="31" t="s">
        <v>108</v>
      </c>
      <c r="J98" s="33"/>
    </row>
    <row r="99" customFormat="false" ht="15" hidden="false" customHeight="false" outlineLevel="0" collapsed="false">
      <c r="A99" s="29" t="n">
        <v>98</v>
      </c>
      <c r="B99" s="29" t="s">
        <v>20</v>
      </c>
      <c r="C99" s="35" t="s">
        <v>88</v>
      </c>
      <c r="D99" s="30" t="s">
        <v>147</v>
      </c>
      <c r="E99" s="31" t="s">
        <v>90</v>
      </c>
      <c r="F99" s="31" t="n">
        <v>51</v>
      </c>
      <c r="G99" s="32" t="n">
        <f aca="false">290*1.05</f>
        <v>304.5</v>
      </c>
      <c r="H99" s="32" t="n">
        <f aca="false">F99*G99</f>
        <v>15529.5</v>
      </c>
      <c r="I99" s="31" t="s">
        <v>108</v>
      </c>
      <c r="J99" s="33"/>
    </row>
    <row r="100" customFormat="false" ht="15" hidden="false" customHeight="false" outlineLevel="0" collapsed="false">
      <c r="A100" s="29" t="n">
        <v>99</v>
      </c>
      <c r="B100" s="29" t="s">
        <v>20</v>
      </c>
      <c r="C100" s="35" t="s">
        <v>88</v>
      </c>
      <c r="D100" s="30" t="s">
        <v>148</v>
      </c>
      <c r="E100" s="31" t="s">
        <v>90</v>
      </c>
      <c r="F100" s="31" t="n">
        <v>18.9</v>
      </c>
      <c r="G100" s="32" t="n">
        <f aca="false">290*1.05</f>
        <v>304.5</v>
      </c>
      <c r="H100" s="32" t="n">
        <f aca="false">F100*G100</f>
        <v>5755.05</v>
      </c>
      <c r="I100" s="31" t="s">
        <v>108</v>
      </c>
      <c r="J100" s="33"/>
    </row>
    <row r="101" customFormat="false" ht="15" hidden="false" customHeight="false" outlineLevel="0" collapsed="false">
      <c r="A101" s="29" t="n">
        <v>100</v>
      </c>
      <c r="B101" s="29" t="s">
        <v>20</v>
      </c>
      <c r="C101" s="35" t="s">
        <v>88</v>
      </c>
      <c r="D101" s="30" t="s">
        <v>149</v>
      </c>
      <c r="E101" s="31" t="s">
        <v>90</v>
      </c>
      <c r="F101" s="31" t="n">
        <f aca="false">15.86</f>
        <v>15.86</v>
      </c>
      <c r="G101" s="32" t="n">
        <f aca="false">290*1.05</f>
        <v>304.5</v>
      </c>
      <c r="H101" s="32" t="n">
        <f aca="false">F101*G101</f>
        <v>4829.37</v>
      </c>
      <c r="I101" s="31" t="s">
        <v>108</v>
      </c>
      <c r="J101" s="33"/>
    </row>
    <row r="102" customFormat="false" ht="15" hidden="false" customHeight="false" outlineLevel="0" collapsed="false">
      <c r="A102" s="29" t="n">
        <v>101</v>
      </c>
      <c r="B102" s="29" t="s">
        <v>20</v>
      </c>
      <c r="C102" s="35" t="s">
        <v>88</v>
      </c>
      <c r="D102" s="30" t="s">
        <v>150</v>
      </c>
      <c r="E102" s="31" t="s">
        <v>90</v>
      </c>
      <c r="F102" s="31" t="n">
        <v>27.75</v>
      </c>
      <c r="G102" s="32" t="n">
        <f aca="false">290*1.05</f>
        <v>304.5</v>
      </c>
      <c r="H102" s="32" t="n">
        <f aca="false">F102*G102</f>
        <v>8449.875</v>
      </c>
      <c r="I102" s="31" t="s">
        <v>108</v>
      </c>
      <c r="J102" s="33"/>
    </row>
    <row r="103" customFormat="false" ht="15" hidden="false" customHeight="false" outlineLevel="0" collapsed="false">
      <c r="A103" s="29" t="n">
        <v>102</v>
      </c>
      <c r="B103" s="29" t="s">
        <v>20</v>
      </c>
      <c r="C103" s="35" t="s">
        <v>88</v>
      </c>
      <c r="D103" s="30" t="s">
        <v>151</v>
      </c>
      <c r="E103" s="31" t="s">
        <v>90</v>
      </c>
      <c r="F103" s="31" t="n">
        <v>111.99</v>
      </c>
      <c r="G103" s="32" t="n">
        <f aca="false">290*1.05</f>
        <v>304.5</v>
      </c>
      <c r="H103" s="32" t="n">
        <f aca="false">F103*G103</f>
        <v>34100.955</v>
      </c>
      <c r="I103" s="31" t="s">
        <v>108</v>
      </c>
      <c r="J103" s="33"/>
    </row>
    <row r="104" customFormat="false" ht="15" hidden="false" customHeight="false" outlineLevel="0" collapsed="false">
      <c r="A104" s="29" t="n">
        <v>103</v>
      </c>
      <c r="B104" s="29" t="s">
        <v>20</v>
      </c>
      <c r="C104" s="35" t="s">
        <v>88</v>
      </c>
      <c r="D104" s="30" t="s">
        <v>152</v>
      </c>
      <c r="E104" s="31" t="s">
        <v>90</v>
      </c>
      <c r="F104" s="31" t="n">
        <v>2</v>
      </c>
      <c r="G104" s="32" t="n">
        <f aca="false">290*1.05</f>
        <v>304.5</v>
      </c>
      <c r="H104" s="32" t="n">
        <f aca="false">F104*G104</f>
        <v>609</v>
      </c>
      <c r="I104" s="31" t="s">
        <v>108</v>
      </c>
      <c r="J104" s="33"/>
    </row>
    <row r="105" customFormat="false" ht="15" hidden="false" customHeight="false" outlineLevel="0" collapsed="false">
      <c r="A105" s="29" t="n">
        <v>104</v>
      </c>
      <c r="B105" s="29" t="s">
        <v>20</v>
      </c>
      <c r="C105" s="35" t="s">
        <v>88</v>
      </c>
      <c r="D105" s="30" t="s">
        <v>153</v>
      </c>
      <c r="E105" s="31" t="s">
        <v>90</v>
      </c>
      <c r="F105" s="31" t="n">
        <v>60.76</v>
      </c>
      <c r="G105" s="32" t="n">
        <f aca="false">290*1.05</f>
        <v>304.5</v>
      </c>
      <c r="H105" s="32" t="n">
        <f aca="false">F105*G105</f>
        <v>18501.42</v>
      </c>
      <c r="I105" s="31" t="s">
        <v>108</v>
      </c>
      <c r="J105" s="33"/>
    </row>
    <row r="106" customFormat="false" ht="15" hidden="false" customHeight="false" outlineLevel="0" collapsed="false">
      <c r="A106" s="29" t="n">
        <v>105</v>
      </c>
      <c r="B106" s="29" t="s">
        <v>20</v>
      </c>
      <c r="C106" s="35" t="s">
        <v>88</v>
      </c>
      <c r="D106" s="30" t="s">
        <v>154</v>
      </c>
      <c r="E106" s="31" t="s">
        <v>90</v>
      </c>
      <c r="F106" s="31" t="n">
        <v>15</v>
      </c>
      <c r="G106" s="32" t="n">
        <f aca="false">290*1.05</f>
        <v>304.5</v>
      </c>
      <c r="H106" s="32" t="n">
        <f aca="false">F106*G106</f>
        <v>4567.5</v>
      </c>
      <c r="I106" s="31" t="s">
        <v>108</v>
      </c>
      <c r="J106" s="33"/>
    </row>
    <row r="107" customFormat="false" ht="15" hidden="false" customHeight="false" outlineLevel="0" collapsed="false">
      <c r="A107" s="29" t="n">
        <v>106</v>
      </c>
      <c r="B107" s="29" t="s">
        <v>20</v>
      </c>
      <c r="C107" s="35" t="s">
        <v>88</v>
      </c>
      <c r="D107" s="30" t="s">
        <v>155</v>
      </c>
      <c r="E107" s="31" t="s">
        <v>90</v>
      </c>
      <c r="F107" s="31" t="n">
        <v>3.2</v>
      </c>
      <c r="G107" s="32" t="n">
        <f aca="false">290*1.05</f>
        <v>304.5</v>
      </c>
      <c r="H107" s="32" t="n">
        <f aca="false">F107*G107</f>
        <v>974.4</v>
      </c>
      <c r="I107" s="31" t="s">
        <v>108</v>
      </c>
      <c r="J107" s="33"/>
    </row>
    <row r="108" customFormat="false" ht="15" hidden="false" customHeight="false" outlineLevel="0" collapsed="false">
      <c r="A108" s="29" t="n">
        <v>107</v>
      </c>
      <c r="B108" s="29" t="s">
        <v>20</v>
      </c>
      <c r="C108" s="35" t="s">
        <v>88</v>
      </c>
      <c r="D108" s="30" t="s">
        <v>156</v>
      </c>
      <c r="E108" s="31" t="s">
        <v>90</v>
      </c>
      <c r="F108" s="31" t="n">
        <v>7.9</v>
      </c>
      <c r="G108" s="32" t="n">
        <f aca="false">290*1.05</f>
        <v>304.5</v>
      </c>
      <c r="H108" s="32" t="n">
        <f aca="false">F108*G108</f>
        <v>2405.55</v>
      </c>
      <c r="I108" s="31" t="s">
        <v>108</v>
      </c>
      <c r="J108" s="33"/>
    </row>
    <row r="109" customFormat="false" ht="15" hidden="false" customHeight="false" outlineLevel="0" collapsed="false">
      <c r="A109" s="29" t="n">
        <v>108</v>
      </c>
      <c r="B109" s="29" t="s">
        <v>20</v>
      </c>
      <c r="C109" s="35" t="s">
        <v>88</v>
      </c>
      <c r="D109" s="30" t="s">
        <v>157</v>
      </c>
      <c r="E109" s="31" t="s">
        <v>90</v>
      </c>
      <c r="F109" s="31" t="n">
        <v>10.2</v>
      </c>
      <c r="G109" s="32" t="n">
        <f aca="false">290*1.05</f>
        <v>304.5</v>
      </c>
      <c r="H109" s="32" t="n">
        <f aca="false">F109*G109</f>
        <v>3105.9</v>
      </c>
      <c r="I109" s="31" t="s">
        <v>108</v>
      </c>
      <c r="J109" s="33"/>
    </row>
    <row r="110" customFormat="false" ht="15" hidden="false" customHeight="false" outlineLevel="0" collapsed="false">
      <c r="A110" s="29" t="n">
        <v>109</v>
      </c>
      <c r="B110" s="29" t="s">
        <v>20</v>
      </c>
      <c r="C110" s="35" t="s">
        <v>88</v>
      </c>
      <c r="D110" s="30" t="s">
        <v>158</v>
      </c>
      <c r="E110" s="31" t="s">
        <v>90</v>
      </c>
      <c r="F110" s="31" t="n">
        <v>50.8</v>
      </c>
      <c r="G110" s="32" t="n">
        <f aca="false">297*1.05</f>
        <v>311.85</v>
      </c>
      <c r="H110" s="32" t="n">
        <f aca="false">F110*G110</f>
        <v>15841.98</v>
      </c>
      <c r="I110" s="31" t="s">
        <v>43</v>
      </c>
      <c r="J110" s="33"/>
    </row>
    <row r="111" customFormat="false" ht="15" hidden="false" customHeight="false" outlineLevel="0" collapsed="false">
      <c r="A111" s="29" t="n">
        <v>110</v>
      </c>
      <c r="B111" s="29" t="s">
        <v>20</v>
      </c>
      <c r="C111" s="35" t="s">
        <v>88</v>
      </c>
      <c r="D111" s="30" t="s">
        <v>159</v>
      </c>
      <c r="E111" s="31" t="s">
        <v>90</v>
      </c>
      <c r="F111" s="31" t="n">
        <v>29.26</v>
      </c>
      <c r="G111" s="32" t="n">
        <f aca="false">297*1.05</f>
        <v>311.85</v>
      </c>
      <c r="H111" s="32" t="n">
        <f aca="false">F111*G111</f>
        <v>9124.731</v>
      </c>
      <c r="I111" s="31" t="s">
        <v>43</v>
      </c>
      <c r="J111" s="33"/>
    </row>
    <row r="112" customFormat="false" ht="15" hidden="false" customHeight="false" outlineLevel="0" collapsed="false">
      <c r="A112" s="29" t="n">
        <v>111</v>
      </c>
      <c r="B112" s="29" t="s">
        <v>20</v>
      </c>
      <c r="C112" s="35" t="s">
        <v>88</v>
      </c>
      <c r="D112" s="30" t="s">
        <v>160</v>
      </c>
      <c r="E112" s="31" t="s">
        <v>90</v>
      </c>
      <c r="F112" s="31" t="n">
        <v>12.43</v>
      </c>
      <c r="G112" s="32" t="n">
        <f aca="false">297*1.05</f>
        <v>311.85</v>
      </c>
      <c r="H112" s="32" t="n">
        <f aca="false">F112*G112</f>
        <v>3876.2955</v>
      </c>
      <c r="I112" s="31" t="s">
        <v>43</v>
      </c>
      <c r="J112" s="33"/>
    </row>
    <row r="113" customFormat="false" ht="15" hidden="false" customHeight="false" outlineLevel="0" collapsed="false">
      <c r="A113" s="29" t="n">
        <v>112</v>
      </c>
      <c r="B113" s="29" t="s">
        <v>20</v>
      </c>
      <c r="C113" s="35" t="s">
        <v>88</v>
      </c>
      <c r="D113" s="30" t="s">
        <v>161</v>
      </c>
      <c r="E113" s="31" t="s">
        <v>90</v>
      </c>
      <c r="F113" s="31" t="n">
        <v>15</v>
      </c>
      <c r="G113" s="32" t="n">
        <f aca="false">297*1.05</f>
        <v>311.85</v>
      </c>
      <c r="H113" s="32" t="n">
        <f aca="false">F113*G113</f>
        <v>4677.75</v>
      </c>
      <c r="I113" s="31" t="s">
        <v>43</v>
      </c>
      <c r="J113" s="33"/>
    </row>
    <row r="114" customFormat="false" ht="15" hidden="false" customHeight="false" outlineLevel="0" collapsed="false">
      <c r="A114" s="29" t="n">
        <v>113</v>
      </c>
      <c r="B114" s="29" t="s">
        <v>20</v>
      </c>
      <c r="C114" s="35" t="s">
        <v>88</v>
      </c>
      <c r="D114" s="30" t="s">
        <v>162</v>
      </c>
      <c r="E114" s="31" t="s">
        <v>90</v>
      </c>
      <c r="F114" s="31" t="n">
        <v>106.28</v>
      </c>
      <c r="G114" s="32" t="n">
        <f aca="false">297*1.05</f>
        <v>311.85</v>
      </c>
      <c r="H114" s="32" t="n">
        <f aca="false">F114*G114</f>
        <v>33143.418</v>
      </c>
      <c r="I114" s="31" t="s">
        <v>43</v>
      </c>
      <c r="J114" s="33"/>
    </row>
    <row r="115" customFormat="false" ht="15" hidden="false" customHeight="false" outlineLevel="0" collapsed="false">
      <c r="A115" s="29" t="n">
        <v>114</v>
      </c>
      <c r="B115" s="29" t="s">
        <v>20</v>
      </c>
      <c r="C115" s="35" t="s">
        <v>88</v>
      </c>
      <c r="D115" s="30" t="s">
        <v>163</v>
      </c>
      <c r="E115" s="31" t="s">
        <v>90</v>
      </c>
      <c r="F115" s="31" t="n">
        <v>61.68</v>
      </c>
      <c r="G115" s="32" t="n">
        <f aca="false">297*1.05</f>
        <v>311.85</v>
      </c>
      <c r="H115" s="32" t="n">
        <f aca="false">F115*G115</f>
        <v>19234.908</v>
      </c>
      <c r="I115" s="31" t="s">
        <v>43</v>
      </c>
      <c r="J115" s="33"/>
    </row>
    <row r="116" customFormat="false" ht="15" hidden="false" customHeight="false" outlineLevel="0" collapsed="false">
      <c r="A116" s="29" t="n">
        <v>115</v>
      </c>
      <c r="B116" s="29" t="s">
        <v>20</v>
      </c>
      <c r="C116" s="35" t="s">
        <v>88</v>
      </c>
      <c r="D116" s="30" t="s">
        <v>164</v>
      </c>
      <c r="E116" s="31" t="s">
        <v>90</v>
      </c>
      <c r="F116" s="31" t="n">
        <v>27.8</v>
      </c>
      <c r="G116" s="32" t="n">
        <f aca="false">297*1.05</f>
        <v>311.85</v>
      </c>
      <c r="H116" s="32" t="n">
        <f aca="false">F116*G116</f>
        <v>8669.43</v>
      </c>
      <c r="I116" s="31" t="s">
        <v>43</v>
      </c>
      <c r="J116" s="33"/>
    </row>
    <row r="117" customFormat="false" ht="15" hidden="false" customHeight="false" outlineLevel="0" collapsed="false">
      <c r="A117" s="29" t="n">
        <v>116</v>
      </c>
      <c r="B117" s="29" t="s">
        <v>20</v>
      </c>
      <c r="C117" s="35" t="s">
        <v>88</v>
      </c>
      <c r="D117" s="30" t="s">
        <v>165</v>
      </c>
      <c r="E117" s="31" t="s">
        <v>90</v>
      </c>
      <c r="F117" s="31" t="n">
        <v>130.4</v>
      </c>
      <c r="G117" s="32" t="n">
        <f aca="false">297*1.05</f>
        <v>311.85</v>
      </c>
      <c r="H117" s="32" t="n">
        <f aca="false">F117*G117</f>
        <v>40665.24</v>
      </c>
      <c r="I117" s="31" t="s">
        <v>43</v>
      </c>
      <c r="J117" s="33"/>
    </row>
    <row r="118" customFormat="false" ht="15" hidden="false" customHeight="false" outlineLevel="0" collapsed="false">
      <c r="A118" s="29" t="n">
        <v>117</v>
      </c>
      <c r="B118" s="29" t="s">
        <v>20</v>
      </c>
      <c r="C118" s="35" t="s">
        <v>88</v>
      </c>
      <c r="D118" s="30" t="s">
        <v>166</v>
      </c>
      <c r="E118" s="31" t="s">
        <v>90</v>
      </c>
      <c r="F118" s="31" t="n">
        <v>19.76</v>
      </c>
      <c r="G118" s="32" t="n">
        <f aca="false">297*1.05</f>
        <v>311.85</v>
      </c>
      <c r="H118" s="32" t="n">
        <f aca="false">F118*G118</f>
        <v>6162.156</v>
      </c>
      <c r="I118" s="31" t="s">
        <v>43</v>
      </c>
      <c r="J118" s="33"/>
    </row>
    <row r="119" customFormat="false" ht="15" hidden="false" customHeight="false" outlineLevel="0" collapsed="false">
      <c r="A119" s="29" t="n">
        <v>118</v>
      </c>
      <c r="B119" s="29" t="s">
        <v>20</v>
      </c>
      <c r="C119" s="35" t="s">
        <v>88</v>
      </c>
      <c r="D119" s="30" t="s">
        <v>167</v>
      </c>
      <c r="E119" s="31" t="s">
        <v>90</v>
      </c>
      <c r="F119" s="31" t="n">
        <v>14.5</v>
      </c>
      <c r="G119" s="32" t="n">
        <f aca="false">297*1.05</f>
        <v>311.85</v>
      </c>
      <c r="H119" s="32" t="n">
        <f aca="false">F119*G119</f>
        <v>4521.825</v>
      </c>
      <c r="I119" s="31" t="s">
        <v>43</v>
      </c>
      <c r="J119" s="33"/>
    </row>
    <row r="120" customFormat="false" ht="15" hidden="false" customHeight="false" outlineLevel="0" collapsed="false">
      <c r="A120" s="29" t="n">
        <v>119</v>
      </c>
      <c r="B120" s="29" t="s">
        <v>20</v>
      </c>
      <c r="C120" s="35" t="s">
        <v>88</v>
      </c>
      <c r="D120" s="30" t="s">
        <v>168</v>
      </c>
      <c r="E120" s="31" t="s">
        <v>90</v>
      </c>
      <c r="F120" s="31" t="n">
        <v>29.18</v>
      </c>
      <c r="G120" s="32" t="n">
        <f aca="false">297*1.05</f>
        <v>311.85</v>
      </c>
      <c r="H120" s="32" t="n">
        <f aca="false">F120*G120</f>
        <v>9099.783</v>
      </c>
      <c r="I120" s="31" t="s">
        <v>43</v>
      </c>
      <c r="J120" s="33"/>
    </row>
    <row r="121" customFormat="false" ht="15" hidden="false" customHeight="false" outlineLevel="0" collapsed="false">
      <c r="A121" s="29" t="n">
        <v>120</v>
      </c>
      <c r="B121" s="29" t="s">
        <v>20</v>
      </c>
      <c r="C121" s="35" t="s">
        <v>88</v>
      </c>
      <c r="D121" s="30" t="s">
        <v>169</v>
      </c>
      <c r="E121" s="31" t="s">
        <v>90</v>
      </c>
      <c r="F121" s="31" t="n">
        <v>21.73</v>
      </c>
      <c r="G121" s="32" t="n">
        <f aca="false">297*1.05</f>
        <v>311.85</v>
      </c>
      <c r="H121" s="32" t="n">
        <f aca="false">F121*G121</f>
        <v>6776.5005</v>
      </c>
      <c r="I121" s="31" t="s">
        <v>43</v>
      </c>
      <c r="J121" s="33"/>
    </row>
    <row r="122" customFormat="false" ht="15" hidden="false" customHeight="false" outlineLevel="0" collapsed="false">
      <c r="A122" s="29" t="n">
        <v>121</v>
      </c>
      <c r="B122" s="29" t="s">
        <v>20</v>
      </c>
      <c r="C122" s="35" t="s">
        <v>88</v>
      </c>
      <c r="D122" s="30" t="s">
        <v>170</v>
      </c>
      <c r="E122" s="31" t="s">
        <v>90</v>
      </c>
      <c r="F122" s="31" t="n">
        <v>15</v>
      </c>
      <c r="G122" s="32" t="n">
        <f aca="false">297*1.05</f>
        <v>311.85</v>
      </c>
      <c r="H122" s="32" t="n">
        <f aca="false">F122*G122</f>
        <v>4677.75</v>
      </c>
      <c r="I122" s="31" t="s">
        <v>43</v>
      </c>
      <c r="J122" s="33" t="s">
        <v>102</v>
      </c>
    </row>
    <row r="123" customFormat="false" ht="15" hidden="false" customHeight="false" outlineLevel="0" collapsed="false">
      <c r="A123" s="29" t="n">
        <v>122</v>
      </c>
      <c r="B123" s="29" t="s">
        <v>20</v>
      </c>
      <c r="C123" s="35" t="s">
        <v>88</v>
      </c>
      <c r="D123" s="30" t="s">
        <v>171</v>
      </c>
      <c r="E123" s="31" t="s">
        <v>90</v>
      </c>
      <c r="F123" s="31" t="n">
        <v>15</v>
      </c>
      <c r="G123" s="32" t="n">
        <f aca="false">297*1.05</f>
        <v>311.85</v>
      </c>
      <c r="H123" s="32" t="n">
        <f aca="false">F123*G123</f>
        <v>4677.75</v>
      </c>
      <c r="I123" s="31" t="s">
        <v>43</v>
      </c>
      <c r="J123" s="33" t="s">
        <v>102</v>
      </c>
    </row>
    <row r="124" customFormat="false" ht="15" hidden="false" customHeight="false" outlineLevel="0" collapsed="false">
      <c r="A124" s="29" t="n">
        <v>123</v>
      </c>
      <c r="B124" s="29" t="s">
        <v>20</v>
      </c>
      <c r="C124" s="35" t="s">
        <v>88</v>
      </c>
      <c r="D124" s="30" t="s">
        <v>172</v>
      </c>
      <c r="E124" s="31" t="s">
        <v>90</v>
      </c>
      <c r="F124" s="31" t="n">
        <v>15</v>
      </c>
      <c r="G124" s="32" t="n">
        <f aca="false">297*1.05</f>
        <v>311.85</v>
      </c>
      <c r="H124" s="32" t="n">
        <f aca="false">F124*G124</f>
        <v>4677.75</v>
      </c>
      <c r="I124" s="31" t="s">
        <v>43</v>
      </c>
      <c r="J124" s="33" t="s">
        <v>102</v>
      </c>
    </row>
    <row r="125" customFormat="false" ht="15" hidden="false" customHeight="false" outlineLevel="0" collapsed="false">
      <c r="A125" s="29" t="n">
        <v>124</v>
      </c>
      <c r="B125" s="29" t="s">
        <v>20</v>
      </c>
      <c r="C125" s="35" t="s">
        <v>88</v>
      </c>
      <c r="D125" s="30" t="s">
        <v>173</v>
      </c>
      <c r="E125" s="31" t="s">
        <v>90</v>
      </c>
      <c r="F125" s="31" t="n">
        <v>27</v>
      </c>
      <c r="G125" s="32" t="n">
        <f aca="false">290*1.05</f>
        <v>304.5</v>
      </c>
      <c r="H125" s="32" t="n">
        <f aca="false">F125*G125</f>
        <v>8221.5</v>
      </c>
      <c r="I125" s="31" t="s">
        <v>108</v>
      </c>
      <c r="J125" s="33" t="s">
        <v>174</v>
      </c>
    </row>
    <row r="126" customFormat="false" ht="15" hidden="false" customHeight="false" outlineLevel="0" collapsed="false">
      <c r="A126" s="29" t="n">
        <v>125</v>
      </c>
      <c r="B126" s="29" t="s">
        <v>20</v>
      </c>
      <c r="C126" s="35" t="s">
        <v>88</v>
      </c>
      <c r="D126" s="30" t="s">
        <v>30</v>
      </c>
      <c r="E126" s="31" t="s">
        <v>90</v>
      </c>
      <c r="F126" s="31" t="n">
        <v>59</v>
      </c>
      <c r="G126" s="32" t="n">
        <f aca="false">290*1.05</f>
        <v>304.5</v>
      </c>
      <c r="H126" s="32" t="n">
        <f aca="false">F126*G126</f>
        <v>17965.5</v>
      </c>
      <c r="I126" s="31" t="s">
        <v>108</v>
      </c>
      <c r="J126" s="33" t="s">
        <v>174</v>
      </c>
    </row>
    <row r="127" customFormat="false" ht="15" hidden="false" customHeight="false" outlineLevel="0" collapsed="false">
      <c r="A127" s="29" t="n">
        <v>126</v>
      </c>
      <c r="B127" s="29" t="s">
        <v>20</v>
      </c>
      <c r="C127" s="35" t="s">
        <v>7</v>
      </c>
      <c r="D127" s="30" t="s">
        <v>175</v>
      </c>
      <c r="E127" s="31" t="s">
        <v>176</v>
      </c>
      <c r="F127" s="31" t="n">
        <f aca="false">286-49</f>
        <v>237</v>
      </c>
      <c r="G127" s="32" t="n">
        <f aca="false">(390/1.15)</f>
        <v>339.130434782609</v>
      </c>
      <c r="H127" s="32" t="n">
        <f aca="false">F127*G127</f>
        <v>80373.9130434783</v>
      </c>
      <c r="I127" s="33"/>
      <c r="J127" s="33"/>
    </row>
    <row r="128" customFormat="false" ht="15" hidden="false" customHeight="false" outlineLevel="0" collapsed="false">
      <c r="A128" s="29" t="n">
        <v>127</v>
      </c>
      <c r="B128" s="29" t="s">
        <v>20</v>
      </c>
      <c r="C128" s="35" t="s">
        <v>7</v>
      </c>
      <c r="D128" s="30" t="s">
        <v>177</v>
      </c>
      <c r="E128" s="31" t="s">
        <v>176</v>
      </c>
      <c r="F128" s="31" t="n">
        <f aca="false">33-23</f>
        <v>10</v>
      </c>
      <c r="G128" s="32" t="n">
        <f aca="false">750/1.15</f>
        <v>652.173913043478</v>
      </c>
      <c r="H128" s="32" t="n">
        <f aca="false">F128*G128</f>
        <v>6521.73913043478</v>
      </c>
      <c r="I128" s="33"/>
      <c r="J128" s="33"/>
    </row>
    <row r="129" customFormat="false" ht="15" hidden="false" customHeight="false" outlineLevel="0" collapsed="false">
      <c r="A129" s="29" t="n">
        <v>128</v>
      </c>
      <c r="B129" s="29" t="s">
        <v>20</v>
      </c>
      <c r="C129" s="35" t="s">
        <v>7</v>
      </c>
      <c r="D129" s="30" t="s">
        <v>178</v>
      </c>
      <c r="E129" s="31" t="s">
        <v>176</v>
      </c>
      <c r="F129" s="31" t="n">
        <f aca="false">30-4</f>
        <v>26</v>
      </c>
      <c r="G129" s="32" t="n">
        <f aca="false">1550/1.15</f>
        <v>1347.82608695652</v>
      </c>
      <c r="H129" s="32" t="n">
        <f aca="false">F129*G129</f>
        <v>35043.4782608696</v>
      </c>
      <c r="I129" s="33"/>
      <c r="J129" s="33"/>
    </row>
    <row r="130" customFormat="false" ht="15" hidden="false" customHeight="false" outlineLevel="0" collapsed="false">
      <c r="A130" s="29" t="n">
        <v>129</v>
      </c>
      <c r="B130" s="29" t="s">
        <v>1</v>
      </c>
      <c r="C130" s="35" t="s">
        <v>7</v>
      </c>
      <c r="D130" s="30" t="s">
        <v>175</v>
      </c>
      <c r="E130" s="31" t="s">
        <v>176</v>
      </c>
      <c r="F130" s="31" t="n">
        <v>49</v>
      </c>
      <c r="G130" s="32" t="n">
        <f aca="false">(390/1.15)</f>
        <v>339.130434782609</v>
      </c>
      <c r="H130" s="32" t="n">
        <f aca="false">F130*G130</f>
        <v>16617.3913043478</v>
      </c>
      <c r="I130" s="33"/>
      <c r="J130" s="33"/>
    </row>
    <row r="131" customFormat="false" ht="15" hidden="false" customHeight="false" outlineLevel="0" collapsed="false">
      <c r="A131" s="29" t="n">
        <v>130</v>
      </c>
      <c r="B131" s="29" t="s">
        <v>1</v>
      </c>
      <c r="C131" s="35" t="s">
        <v>7</v>
      </c>
      <c r="D131" s="30" t="s">
        <v>177</v>
      </c>
      <c r="E131" s="31" t="s">
        <v>176</v>
      </c>
      <c r="F131" s="31" t="n">
        <v>23</v>
      </c>
      <c r="G131" s="32" t="n">
        <f aca="false">750/1.15</f>
        <v>652.173913043478</v>
      </c>
      <c r="H131" s="32" t="n">
        <f aca="false">F131*G131</f>
        <v>15000</v>
      </c>
      <c r="I131" s="33"/>
      <c r="J131" s="33"/>
    </row>
    <row r="132" customFormat="false" ht="15" hidden="false" customHeight="false" outlineLevel="0" collapsed="false">
      <c r="A132" s="29" t="n">
        <v>131</v>
      </c>
      <c r="B132" s="29" t="s">
        <v>1</v>
      </c>
      <c r="C132" s="35" t="s">
        <v>7</v>
      </c>
      <c r="D132" s="30" t="s">
        <v>178</v>
      </c>
      <c r="E132" s="31" t="s">
        <v>176</v>
      </c>
      <c r="F132" s="31" t="n">
        <v>4</v>
      </c>
      <c r="G132" s="32" t="n">
        <f aca="false">1550/1.15</f>
        <v>1347.82608695652</v>
      </c>
      <c r="H132" s="32" t="n">
        <f aca="false">F132*G132</f>
        <v>5391.30434782609</v>
      </c>
      <c r="I132" s="33"/>
      <c r="J132" s="33"/>
    </row>
    <row r="133" customFormat="false" ht="15" hidden="false" customHeight="false" outlineLevel="0" collapsed="false">
      <c r="A133" s="29" t="n">
        <v>132</v>
      </c>
      <c r="B133" s="36" t="s">
        <v>20</v>
      </c>
      <c r="C133" s="35" t="s">
        <v>8</v>
      </c>
      <c r="D133" s="30" t="s">
        <v>179</v>
      </c>
      <c r="E133" s="31" t="s">
        <v>176</v>
      </c>
      <c r="F133" s="31" t="n">
        <v>0</v>
      </c>
      <c r="G133" s="32" t="n">
        <f aca="false">((305*2)+252)*1.05</f>
        <v>905.1</v>
      </c>
      <c r="H133" s="32" t="n">
        <f aca="false">F133*G133</f>
        <v>0</v>
      </c>
      <c r="I133" s="37" t="s">
        <v>180</v>
      </c>
      <c r="J133" s="33"/>
    </row>
    <row r="134" customFormat="false" ht="15" hidden="false" customHeight="false" outlineLevel="0" collapsed="false">
      <c r="A134" s="29" t="n">
        <v>133</v>
      </c>
      <c r="B134" s="38" t="s">
        <v>20</v>
      </c>
      <c r="C134" s="35" t="s">
        <v>8</v>
      </c>
      <c r="D134" s="30" t="s">
        <v>181</v>
      </c>
      <c r="E134" s="31" t="s">
        <v>176</v>
      </c>
      <c r="F134" s="31" t="n">
        <v>3</v>
      </c>
      <c r="G134" s="32" t="n">
        <f aca="false">((305*2.25)+252)*1.05</f>
        <v>985.1625</v>
      </c>
      <c r="H134" s="32" t="n">
        <f aca="false">F134*G134</f>
        <v>2955.4875</v>
      </c>
      <c r="I134" s="37" t="s">
        <v>180</v>
      </c>
      <c r="J134" s="33"/>
    </row>
    <row r="135" customFormat="false" ht="15" hidden="false" customHeight="false" outlineLevel="0" collapsed="false">
      <c r="A135" s="29" t="n">
        <v>134</v>
      </c>
      <c r="B135" s="36" t="s">
        <v>20</v>
      </c>
      <c r="C135" s="35" t="s">
        <v>8</v>
      </c>
      <c r="D135" s="30" t="s">
        <v>182</v>
      </c>
      <c r="E135" s="31" t="s">
        <v>176</v>
      </c>
      <c r="F135" s="31" t="n">
        <v>0</v>
      </c>
      <c r="G135" s="32" t="n">
        <f aca="false">((305*2)+252)*1.05</f>
        <v>905.1</v>
      </c>
      <c r="H135" s="32" t="n">
        <f aca="false">F135*G135</f>
        <v>0</v>
      </c>
      <c r="I135" s="37" t="s">
        <v>180</v>
      </c>
      <c r="J135" s="33"/>
    </row>
    <row r="136" customFormat="false" ht="15" hidden="false" customHeight="false" outlineLevel="0" collapsed="false">
      <c r="A136" s="29" t="n">
        <v>135</v>
      </c>
      <c r="B136" s="38" t="s">
        <v>20</v>
      </c>
      <c r="C136" s="35" t="s">
        <v>8</v>
      </c>
      <c r="D136" s="30" t="s">
        <v>183</v>
      </c>
      <c r="E136" s="31" t="s">
        <v>176</v>
      </c>
      <c r="F136" s="31" t="n">
        <v>2</v>
      </c>
      <c r="G136" s="32" t="n">
        <f aca="false">((305*2.25)+252)*1.05</f>
        <v>985.1625</v>
      </c>
      <c r="H136" s="32" t="n">
        <f aca="false">F136*G136</f>
        <v>1970.325</v>
      </c>
      <c r="I136" s="37" t="s">
        <v>180</v>
      </c>
      <c r="J136" s="33"/>
    </row>
    <row r="137" customFormat="false" ht="15" hidden="false" customHeight="false" outlineLevel="0" collapsed="false">
      <c r="A137" s="29" t="n">
        <v>136</v>
      </c>
      <c r="B137" s="36" t="s">
        <v>20</v>
      </c>
      <c r="C137" s="35" t="s">
        <v>8</v>
      </c>
      <c r="D137" s="30" t="s">
        <v>184</v>
      </c>
      <c r="E137" s="31" t="s">
        <v>176</v>
      </c>
      <c r="F137" s="31" t="n">
        <v>0</v>
      </c>
      <c r="G137" s="32" t="n">
        <f aca="false">((305*2)+252)*1.05</f>
        <v>905.1</v>
      </c>
      <c r="H137" s="32" t="n">
        <f aca="false">F137*G137</f>
        <v>0</v>
      </c>
      <c r="I137" s="37" t="s">
        <v>180</v>
      </c>
      <c r="J137" s="33"/>
    </row>
    <row r="138" customFormat="false" ht="15" hidden="false" customHeight="false" outlineLevel="0" collapsed="false">
      <c r="A138" s="29" t="n">
        <v>137</v>
      </c>
      <c r="B138" s="38" t="s">
        <v>20</v>
      </c>
      <c r="C138" s="35" t="s">
        <v>8</v>
      </c>
      <c r="D138" s="30" t="s">
        <v>185</v>
      </c>
      <c r="E138" s="31" t="s">
        <v>176</v>
      </c>
      <c r="F138" s="31" t="n">
        <v>2</v>
      </c>
      <c r="G138" s="32" t="n">
        <f aca="false">((305*2.25)+252)*1.05</f>
        <v>985.1625</v>
      </c>
      <c r="H138" s="32" t="n">
        <f aca="false">F138*G138</f>
        <v>1970.325</v>
      </c>
      <c r="I138" s="37" t="s">
        <v>180</v>
      </c>
      <c r="J138" s="33"/>
    </row>
    <row r="139" customFormat="false" ht="15" hidden="false" customHeight="false" outlineLevel="0" collapsed="false">
      <c r="A139" s="29" t="n">
        <v>138</v>
      </c>
      <c r="B139" s="36" t="s">
        <v>20</v>
      </c>
      <c r="C139" s="35" t="s">
        <v>8</v>
      </c>
      <c r="D139" s="30" t="s">
        <v>186</v>
      </c>
      <c r="E139" s="31" t="s">
        <v>176</v>
      </c>
      <c r="F139" s="31" t="n">
        <v>0</v>
      </c>
      <c r="G139" s="32" t="n">
        <f aca="false">((305*2)+252)*1.05</f>
        <v>905.1</v>
      </c>
      <c r="H139" s="32" t="n">
        <f aca="false">F139*G139</f>
        <v>0</v>
      </c>
      <c r="I139" s="37" t="s">
        <v>180</v>
      </c>
      <c r="J139" s="33"/>
    </row>
    <row r="140" customFormat="false" ht="15" hidden="false" customHeight="false" outlineLevel="0" collapsed="false">
      <c r="A140" s="29" t="n">
        <v>139</v>
      </c>
      <c r="B140" s="38" t="s">
        <v>20</v>
      </c>
      <c r="C140" s="35" t="s">
        <v>8</v>
      </c>
      <c r="D140" s="30" t="s">
        <v>187</v>
      </c>
      <c r="E140" s="31" t="s">
        <v>176</v>
      </c>
      <c r="F140" s="31" t="n">
        <v>1</v>
      </c>
      <c r="G140" s="32" t="n">
        <f aca="false">((305*2.25)+252)*1.05</f>
        <v>985.1625</v>
      </c>
      <c r="H140" s="32" t="n">
        <f aca="false">F140*G140</f>
        <v>985.1625</v>
      </c>
      <c r="I140" s="37" t="s">
        <v>180</v>
      </c>
      <c r="J140" s="33"/>
    </row>
    <row r="141" customFormat="false" ht="15" hidden="false" customHeight="false" outlineLevel="0" collapsed="false">
      <c r="A141" s="29" t="n">
        <v>140</v>
      </c>
      <c r="B141" s="36" t="s">
        <v>20</v>
      </c>
      <c r="C141" s="35" t="s">
        <v>8</v>
      </c>
      <c r="D141" s="30" t="s">
        <v>188</v>
      </c>
      <c r="E141" s="31" t="s">
        <v>176</v>
      </c>
      <c r="F141" s="31" t="n">
        <v>1</v>
      </c>
      <c r="G141" s="32" t="n">
        <f aca="false">((305*2)+252)*1.05</f>
        <v>905.1</v>
      </c>
      <c r="H141" s="32" t="n">
        <f aca="false">F141*G141</f>
        <v>905.1</v>
      </c>
      <c r="I141" s="37" t="s">
        <v>180</v>
      </c>
      <c r="J141" s="33"/>
    </row>
    <row r="142" customFormat="false" ht="15" hidden="false" customHeight="false" outlineLevel="0" collapsed="false">
      <c r="A142" s="29" t="n">
        <v>141</v>
      </c>
      <c r="B142" s="38" t="s">
        <v>20</v>
      </c>
      <c r="C142" s="35" t="s">
        <v>8</v>
      </c>
      <c r="D142" s="30" t="s">
        <v>189</v>
      </c>
      <c r="E142" s="31" t="s">
        <v>176</v>
      </c>
      <c r="F142" s="31" t="n">
        <v>2</v>
      </c>
      <c r="G142" s="32" t="n">
        <f aca="false">((305*2.25)+252)*1.05</f>
        <v>985.1625</v>
      </c>
      <c r="H142" s="32" t="n">
        <f aca="false">F142*G142</f>
        <v>1970.325</v>
      </c>
      <c r="I142" s="37" t="s">
        <v>180</v>
      </c>
      <c r="J142" s="33"/>
    </row>
    <row r="143" customFormat="false" ht="15" hidden="false" customHeight="false" outlineLevel="0" collapsed="false">
      <c r="A143" s="29" t="n">
        <v>142</v>
      </c>
      <c r="B143" s="36" t="s">
        <v>20</v>
      </c>
      <c r="C143" s="35" t="s">
        <v>8</v>
      </c>
      <c r="D143" s="30" t="s">
        <v>190</v>
      </c>
      <c r="E143" s="31" t="s">
        <v>176</v>
      </c>
      <c r="F143" s="31" t="n">
        <v>0</v>
      </c>
      <c r="G143" s="32" t="n">
        <f aca="false">((305*2)+252)*1.05</f>
        <v>905.1</v>
      </c>
      <c r="H143" s="32" t="n">
        <f aca="false">F143*G143</f>
        <v>0</v>
      </c>
      <c r="I143" s="37" t="s">
        <v>180</v>
      </c>
      <c r="J143" s="33"/>
    </row>
    <row r="144" customFormat="false" ht="15" hidden="false" customHeight="false" outlineLevel="0" collapsed="false">
      <c r="A144" s="29" t="n">
        <v>143</v>
      </c>
      <c r="B144" s="38" t="s">
        <v>20</v>
      </c>
      <c r="C144" s="35" t="s">
        <v>8</v>
      </c>
      <c r="D144" s="30" t="s">
        <v>191</v>
      </c>
      <c r="E144" s="31" t="s">
        <v>176</v>
      </c>
      <c r="F144" s="31" t="n">
        <v>2</v>
      </c>
      <c r="G144" s="32" t="n">
        <f aca="false">((305*2.25)+252)*1.05</f>
        <v>985.1625</v>
      </c>
      <c r="H144" s="32" t="n">
        <f aca="false">F144*G144</f>
        <v>1970.325</v>
      </c>
      <c r="I144" s="37" t="s">
        <v>180</v>
      </c>
      <c r="J144" s="33"/>
    </row>
    <row r="145" customFormat="false" ht="15" hidden="false" customHeight="false" outlineLevel="0" collapsed="false">
      <c r="A145" s="29" t="n">
        <v>144</v>
      </c>
      <c r="B145" s="36" t="s">
        <v>20</v>
      </c>
      <c r="C145" s="35" t="s">
        <v>8</v>
      </c>
      <c r="D145" s="30" t="s">
        <v>192</v>
      </c>
      <c r="E145" s="31" t="s">
        <v>176</v>
      </c>
      <c r="F145" s="31" t="n">
        <v>3</v>
      </c>
      <c r="G145" s="32" t="n">
        <f aca="false">((305*2.25)+252)*1.05</f>
        <v>985.1625</v>
      </c>
      <c r="H145" s="32" t="n">
        <f aca="false">F145*G145</f>
        <v>2955.4875</v>
      </c>
      <c r="I145" s="37" t="s">
        <v>180</v>
      </c>
      <c r="J145" s="33"/>
    </row>
    <row r="146" customFormat="false" ht="15" hidden="false" customHeight="false" outlineLevel="0" collapsed="false">
      <c r="A146" s="29" t="n">
        <v>145</v>
      </c>
      <c r="B146" s="38" t="s">
        <v>20</v>
      </c>
      <c r="C146" s="35" t="s">
        <v>8</v>
      </c>
      <c r="D146" s="30" t="s">
        <v>193</v>
      </c>
      <c r="E146" s="31" t="s">
        <v>176</v>
      </c>
      <c r="F146" s="31" t="n">
        <v>0</v>
      </c>
      <c r="G146" s="32" t="n">
        <f aca="false">((305*2)+252)*1.05</f>
        <v>905.1</v>
      </c>
      <c r="H146" s="32" t="n">
        <f aca="false">F146*G146</f>
        <v>0</v>
      </c>
      <c r="I146" s="37" t="s">
        <v>180</v>
      </c>
      <c r="J146" s="33"/>
    </row>
    <row r="147" customFormat="false" ht="15" hidden="false" customHeight="false" outlineLevel="0" collapsed="false">
      <c r="A147" s="29" t="n">
        <v>146</v>
      </c>
      <c r="B147" s="36" t="s">
        <v>20</v>
      </c>
      <c r="C147" s="35" t="s">
        <v>8</v>
      </c>
      <c r="D147" s="30" t="s">
        <v>194</v>
      </c>
      <c r="E147" s="31" t="s">
        <v>176</v>
      </c>
      <c r="F147" s="31" t="n">
        <v>2</v>
      </c>
      <c r="G147" s="32" t="n">
        <f aca="false">((305*2)+252)*1.05</f>
        <v>905.1</v>
      </c>
      <c r="H147" s="32" t="n">
        <f aca="false">F147*G147</f>
        <v>1810.2</v>
      </c>
      <c r="I147" s="37" t="s">
        <v>180</v>
      </c>
      <c r="J147" s="33"/>
    </row>
    <row r="148" customFormat="false" ht="15" hidden="false" customHeight="false" outlineLevel="0" collapsed="false">
      <c r="A148" s="29" t="n">
        <v>147</v>
      </c>
      <c r="B148" s="38" t="s">
        <v>20</v>
      </c>
      <c r="C148" s="35" t="s">
        <v>8</v>
      </c>
      <c r="D148" s="30" t="s">
        <v>195</v>
      </c>
      <c r="E148" s="31" t="s">
        <v>176</v>
      </c>
      <c r="F148" s="31" t="n">
        <v>3</v>
      </c>
      <c r="G148" s="32" t="n">
        <f aca="false">((305*2.25)+252)*1.05</f>
        <v>985.1625</v>
      </c>
      <c r="H148" s="32" t="n">
        <f aca="false">F148*G148</f>
        <v>2955.4875</v>
      </c>
      <c r="I148" s="37" t="s">
        <v>180</v>
      </c>
      <c r="J148" s="33"/>
    </row>
    <row r="149" customFormat="false" ht="15" hidden="false" customHeight="false" outlineLevel="0" collapsed="false">
      <c r="A149" s="29" t="n">
        <v>148</v>
      </c>
      <c r="B149" s="36" t="s">
        <v>20</v>
      </c>
      <c r="C149" s="35" t="s">
        <v>8</v>
      </c>
      <c r="D149" s="30" t="s">
        <v>196</v>
      </c>
      <c r="E149" s="31" t="s">
        <v>176</v>
      </c>
      <c r="F149" s="31" t="n">
        <v>2</v>
      </c>
      <c r="G149" s="32" t="n">
        <f aca="false">((305*2)+252)*1.05</f>
        <v>905.1</v>
      </c>
      <c r="H149" s="32" t="n">
        <f aca="false">F149*G149</f>
        <v>1810.2</v>
      </c>
      <c r="I149" s="37" t="s">
        <v>180</v>
      </c>
      <c r="J149" s="33"/>
    </row>
    <row r="150" customFormat="false" ht="15" hidden="false" customHeight="false" outlineLevel="0" collapsed="false">
      <c r="A150" s="29" t="n">
        <v>149</v>
      </c>
      <c r="B150" s="38" t="s">
        <v>20</v>
      </c>
      <c r="C150" s="35" t="s">
        <v>8</v>
      </c>
      <c r="D150" s="30" t="s">
        <v>197</v>
      </c>
      <c r="E150" s="31" t="s">
        <v>176</v>
      </c>
      <c r="F150" s="31" t="n">
        <v>2</v>
      </c>
      <c r="G150" s="32" t="n">
        <f aca="false">((305*2.25)+252)*1.05</f>
        <v>985.1625</v>
      </c>
      <c r="H150" s="32" t="n">
        <f aca="false">F150*G150</f>
        <v>1970.325</v>
      </c>
      <c r="I150" s="37" t="s">
        <v>180</v>
      </c>
      <c r="J150" s="33"/>
    </row>
    <row r="151" customFormat="false" ht="15" hidden="false" customHeight="false" outlineLevel="0" collapsed="false">
      <c r="A151" s="29" t="n">
        <v>150</v>
      </c>
      <c r="B151" s="36" t="s">
        <v>20</v>
      </c>
      <c r="C151" s="35" t="s">
        <v>8</v>
      </c>
      <c r="D151" s="30" t="s">
        <v>198</v>
      </c>
      <c r="E151" s="31" t="s">
        <v>176</v>
      </c>
      <c r="F151" s="31" t="n">
        <v>1</v>
      </c>
      <c r="G151" s="32" t="n">
        <f aca="false">((305*2)+252)*1.05</f>
        <v>905.1</v>
      </c>
      <c r="H151" s="32" t="n">
        <f aca="false">F151*G151</f>
        <v>905.1</v>
      </c>
      <c r="I151" s="37" t="s">
        <v>180</v>
      </c>
      <c r="J151" s="33"/>
    </row>
    <row r="152" customFormat="false" ht="15" hidden="false" customHeight="false" outlineLevel="0" collapsed="false">
      <c r="A152" s="29" t="n">
        <v>151</v>
      </c>
      <c r="B152" s="38" t="s">
        <v>20</v>
      </c>
      <c r="C152" s="35" t="s">
        <v>8</v>
      </c>
      <c r="D152" s="30" t="s">
        <v>199</v>
      </c>
      <c r="E152" s="31" t="s">
        <v>176</v>
      </c>
      <c r="F152" s="31" t="n">
        <v>5</v>
      </c>
      <c r="G152" s="32" t="n">
        <f aca="false">((305*2.25)+252)*1.05</f>
        <v>985.1625</v>
      </c>
      <c r="H152" s="32" t="n">
        <f aca="false">F152*G152</f>
        <v>4925.8125</v>
      </c>
      <c r="I152" s="37" t="s">
        <v>180</v>
      </c>
      <c r="J152" s="33"/>
    </row>
    <row r="153" customFormat="false" ht="15" hidden="false" customHeight="false" outlineLevel="0" collapsed="false">
      <c r="A153" s="29" t="n">
        <v>152</v>
      </c>
      <c r="B153" s="36" t="s">
        <v>20</v>
      </c>
      <c r="C153" s="35" t="s">
        <v>8</v>
      </c>
      <c r="D153" s="30" t="s">
        <v>200</v>
      </c>
      <c r="E153" s="31" t="s">
        <v>176</v>
      </c>
      <c r="F153" s="31" t="n">
        <v>5</v>
      </c>
      <c r="G153" s="32" t="n">
        <f aca="false">((290*2)+252)*1.05</f>
        <v>873.6</v>
      </c>
      <c r="H153" s="32" t="n">
        <f aca="false">F153*G153</f>
        <v>4368</v>
      </c>
      <c r="I153" s="37" t="s">
        <v>108</v>
      </c>
      <c r="J153" s="33"/>
    </row>
    <row r="154" customFormat="false" ht="15" hidden="false" customHeight="false" outlineLevel="0" collapsed="false">
      <c r="A154" s="29" t="n">
        <v>153</v>
      </c>
      <c r="B154" s="38" t="s">
        <v>1</v>
      </c>
      <c r="C154" s="35" t="s">
        <v>8</v>
      </c>
      <c r="D154" s="30" t="s">
        <v>200</v>
      </c>
      <c r="E154" s="31" t="s">
        <v>176</v>
      </c>
      <c r="F154" s="31" t="n">
        <v>4</v>
      </c>
      <c r="G154" s="32" t="n">
        <f aca="false">((290*2)+252)*1.05</f>
        <v>873.6</v>
      </c>
      <c r="H154" s="32" t="n">
        <f aca="false">F154*G154</f>
        <v>3494.4</v>
      </c>
      <c r="I154" s="37" t="s">
        <v>108</v>
      </c>
      <c r="J154" s="33"/>
    </row>
    <row r="155" customFormat="false" ht="15" hidden="false" customHeight="false" outlineLevel="0" collapsed="false">
      <c r="A155" s="29" t="n">
        <v>154</v>
      </c>
      <c r="B155" s="36" t="s">
        <v>20</v>
      </c>
      <c r="C155" s="35" t="s">
        <v>8</v>
      </c>
      <c r="D155" s="30" t="s">
        <v>201</v>
      </c>
      <c r="E155" s="31" t="s">
        <v>176</v>
      </c>
      <c r="F155" s="31" t="n">
        <v>6</v>
      </c>
      <c r="G155" s="32" t="n">
        <f aca="false">((290*2.25)+252)*1.05</f>
        <v>949.725</v>
      </c>
      <c r="H155" s="32" t="n">
        <f aca="false">F155*G155</f>
        <v>5698.35</v>
      </c>
      <c r="I155" s="37" t="s">
        <v>108</v>
      </c>
      <c r="J155" s="33"/>
    </row>
    <row r="156" customFormat="false" ht="15" hidden="false" customHeight="false" outlineLevel="0" collapsed="false">
      <c r="A156" s="29" t="n">
        <v>155</v>
      </c>
      <c r="B156" s="38" t="s">
        <v>1</v>
      </c>
      <c r="C156" s="35" t="s">
        <v>8</v>
      </c>
      <c r="D156" s="30" t="s">
        <v>201</v>
      </c>
      <c r="E156" s="31" t="s">
        <v>176</v>
      </c>
      <c r="F156" s="31" t="n">
        <v>4</v>
      </c>
      <c r="G156" s="32" t="n">
        <f aca="false">((290*2.25)+252)*1.05</f>
        <v>949.725</v>
      </c>
      <c r="H156" s="32" t="n">
        <f aca="false">F156*G156</f>
        <v>3798.9</v>
      </c>
      <c r="I156" s="37" t="s">
        <v>108</v>
      </c>
      <c r="J156" s="33"/>
    </row>
    <row r="157" customFormat="false" ht="15" hidden="false" customHeight="false" outlineLevel="0" collapsed="false">
      <c r="A157" s="29" t="n">
        <v>156</v>
      </c>
      <c r="B157" s="36" t="s">
        <v>20</v>
      </c>
      <c r="C157" s="35" t="s">
        <v>8</v>
      </c>
      <c r="D157" s="30" t="s">
        <v>200</v>
      </c>
      <c r="E157" s="31" t="s">
        <v>176</v>
      </c>
      <c r="F157" s="31" t="n">
        <v>1</v>
      </c>
      <c r="G157" s="32" t="n">
        <f aca="false">((290*2)+252)*1.05</f>
        <v>873.6</v>
      </c>
      <c r="H157" s="32" t="n">
        <f aca="false">F157*G157</f>
        <v>873.6</v>
      </c>
      <c r="I157" s="37" t="s">
        <v>108</v>
      </c>
      <c r="J157" s="33"/>
    </row>
    <row r="158" customFormat="false" ht="15" hidden="false" customHeight="false" outlineLevel="0" collapsed="false">
      <c r="A158" s="29" t="n">
        <v>157</v>
      </c>
      <c r="B158" s="38" t="s">
        <v>20</v>
      </c>
      <c r="C158" s="35" t="s">
        <v>8</v>
      </c>
      <c r="D158" s="30" t="s">
        <v>201</v>
      </c>
      <c r="E158" s="31" t="s">
        <v>176</v>
      </c>
      <c r="F158" s="31" t="n">
        <v>1</v>
      </c>
      <c r="G158" s="32" t="n">
        <f aca="false">((290*2.25)+252)*1.05</f>
        <v>949.725</v>
      </c>
      <c r="H158" s="32" t="n">
        <f aca="false">F158*G158</f>
        <v>949.725</v>
      </c>
      <c r="I158" s="37" t="s">
        <v>108</v>
      </c>
      <c r="J158" s="33"/>
    </row>
    <row r="159" customFormat="false" ht="15" hidden="false" customHeight="false" outlineLevel="0" collapsed="false">
      <c r="A159" s="29" t="n">
        <v>158</v>
      </c>
      <c r="B159" s="36" t="s">
        <v>20</v>
      </c>
      <c r="C159" s="35" t="s">
        <v>8</v>
      </c>
      <c r="D159" s="30" t="s">
        <v>202</v>
      </c>
      <c r="E159" s="31" t="s">
        <v>176</v>
      </c>
      <c r="F159" s="31" t="n">
        <v>0</v>
      </c>
      <c r="G159" s="32" t="n">
        <f aca="false">((290*2)+252)*1.05</f>
        <v>873.6</v>
      </c>
      <c r="H159" s="32" t="n">
        <f aca="false">F159*G159</f>
        <v>0</v>
      </c>
      <c r="I159" s="37" t="s">
        <v>108</v>
      </c>
      <c r="J159" s="33"/>
    </row>
    <row r="160" customFormat="false" ht="15" hidden="false" customHeight="false" outlineLevel="0" collapsed="false">
      <c r="A160" s="29" t="n">
        <v>159</v>
      </c>
      <c r="B160" s="38" t="s">
        <v>20</v>
      </c>
      <c r="C160" s="35" t="s">
        <v>8</v>
      </c>
      <c r="D160" s="30" t="s">
        <v>203</v>
      </c>
      <c r="E160" s="31" t="s">
        <v>176</v>
      </c>
      <c r="F160" s="31" t="n">
        <v>1</v>
      </c>
      <c r="G160" s="32" t="n">
        <f aca="false">((290*2.25)+252)*1.05</f>
        <v>949.725</v>
      </c>
      <c r="H160" s="32" t="n">
        <f aca="false">F160*G160</f>
        <v>949.725</v>
      </c>
      <c r="I160" s="37" t="s">
        <v>108</v>
      </c>
      <c r="J160" s="33"/>
    </row>
    <row r="161" customFormat="false" ht="15" hidden="false" customHeight="false" outlineLevel="0" collapsed="false">
      <c r="A161" s="29" t="n">
        <v>160</v>
      </c>
      <c r="B161" s="36" t="s">
        <v>20</v>
      </c>
      <c r="C161" s="35" t="s">
        <v>8</v>
      </c>
      <c r="D161" s="30" t="s">
        <v>204</v>
      </c>
      <c r="E161" s="31" t="s">
        <v>176</v>
      </c>
      <c r="F161" s="31" t="n">
        <v>2</v>
      </c>
      <c r="G161" s="32" t="n">
        <f aca="false">((290*2)+252)*1.05</f>
        <v>873.6</v>
      </c>
      <c r="H161" s="32" t="n">
        <f aca="false">F161*G161</f>
        <v>1747.2</v>
      </c>
      <c r="I161" s="37" t="s">
        <v>108</v>
      </c>
      <c r="J161" s="33"/>
    </row>
    <row r="162" customFormat="false" ht="15" hidden="false" customHeight="false" outlineLevel="0" collapsed="false">
      <c r="A162" s="29" t="n">
        <v>161</v>
      </c>
      <c r="B162" s="38" t="s">
        <v>20</v>
      </c>
      <c r="C162" s="35" t="s">
        <v>8</v>
      </c>
      <c r="D162" s="30" t="s">
        <v>205</v>
      </c>
      <c r="E162" s="31" t="s">
        <v>176</v>
      </c>
      <c r="F162" s="31" t="n">
        <v>1</v>
      </c>
      <c r="G162" s="32" t="n">
        <f aca="false">((290*2.25)+252)*1.05</f>
        <v>949.725</v>
      </c>
      <c r="H162" s="32" t="n">
        <f aca="false">F162*G162</f>
        <v>949.725</v>
      </c>
      <c r="I162" s="37" t="s">
        <v>108</v>
      </c>
      <c r="J162" s="33"/>
    </row>
    <row r="163" customFormat="false" ht="15" hidden="false" customHeight="false" outlineLevel="0" collapsed="false">
      <c r="A163" s="29" t="n">
        <v>162</v>
      </c>
      <c r="B163" s="36" t="s">
        <v>20</v>
      </c>
      <c r="C163" s="35" t="s">
        <v>8</v>
      </c>
      <c r="D163" s="30" t="s">
        <v>206</v>
      </c>
      <c r="E163" s="31" t="s">
        <v>176</v>
      </c>
      <c r="F163" s="31" t="n">
        <v>1</v>
      </c>
      <c r="G163" s="32" t="n">
        <f aca="false">((290*2)+252)*1.05</f>
        <v>873.6</v>
      </c>
      <c r="H163" s="32" t="n">
        <f aca="false">F163*G163</f>
        <v>873.6</v>
      </c>
      <c r="I163" s="37" t="s">
        <v>108</v>
      </c>
      <c r="J163" s="33"/>
    </row>
    <row r="164" customFormat="false" ht="15" hidden="false" customHeight="false" outlineLevel="0" collapsed="false">
      <c r="A164" s="29" t="n">
        <v>163</v>
      </c>
      <c r="B164" s="38" t="s">
        <v>20</v>
      </c>
      <c r="C164" s="35" t="s">
        <v>8</v>
      </c>
      <c r="D164" s="30" t="s">
        <v>207</v>
      </c>
      <c r="E164" s="31" t="s">
        <v>176</v>
      </c>
      <c r="F164" s="31" t="n">
        <v>1</v>
      </c>
      <c r="G164" s="32" t="n">
        <f aca="false">((290*2.25)+252)*1.05</f>
        <v>949.725</v>
      </c>
      <c r="H164" s="32" t="n">
        <f aca="false">F164*G164</f>
        <v>949.725</v>
      </c>
      <c r="I164" s="37" t="s">
        <v>108</v>
      </c>
      <c r="J164" s="33"/>
    </row>
    <row r="165" customFormat="false" ht="15" hidden="false" customHeight="false" outlineLevel="0" collapsed="false">
      <c r="A165" s="29" t="n">
        <v>164</v>
      </c>
      <c r="B165" s="36" t="s">
        <v>20</v>
      </c>
      <c r="C165" s="35" t="s">
        <v>8</v>
      </c>
      <c r="D165" s="30" t="s">
        <v>208</v>
      </c>
      <c r="E165" s="31" t="s">
        <v>176</v>
      </c>
      <c r="F165" s="31" t="n">
        <v>3</v>
      </c>
      <c r="G165" s="32" t="n">
        <f aca="false">((290*2)+252)*1.05</f>
        <v>873.6</v>
      </c>
      <c r="H165" s="32" t="n">
        <f aca="false">F165*G165</f>
        <v>2620.8</v>
      </c>
      <c r="I165" s="37" t="s">
        <v>108</v>
      </c>
      <c r="J165" s="33"/>
    </row>
    <row r="166" customFormat="false" ht="15" hidden="false" customHeight="false" outlineLevel="0" collapsed="false">
      <c r="A166" s="29" t="n">
        <v>165</v>
      </c>
      <c r="B166" s="38" t="s">
        <v>20</v>
      </c>
      <c r="C166" s="35" t="s">
        <v>8</v>
      </c>
      <c r="D166" s="30" t="s">
        <v>209</v>
      </c>
      <c r="E166" s="31" t="s">
        <v>176</v>
      </c>
      <c r="F166" s="31" t="n">
        <v>5</v>
      </c>
      <c r="G166" s="32" t="n">
        <f aca="false">((290*2.25)+252)*1.05</f>
        <v>949.725</v>
      </c>
      <c r="H166" s="32" t="n">
        <f aca="false">F166*G166</f>
        <v>4748.625</v>
      </c>
      <c r="I166" s="37" t="s">
        <v>108</v>
      </c>
      <c r="J166" s="33"/>
    </row>
    <row r="167" customFormat="false" ht="15" hidden="false" customHeight="false" outlineLevel="0" collapsed="false">
      <c r="A167" s="29" t="n">
        <v>166</v>
      </c>
      <c r="B167" s="36" t="s">
        <v>20</v>
      </c>
      <c r="C167" s="35" t="s">
        <v>8</v>
      </c>
      <c r="D167" s="30" t="s">
        <v>210</v>
      </c>
      <c r="E167" s="31" t="s">
        <v>176</v>
      </c>
      <c r="F167" s="31" t="n">
        <v>1</v>
      </c>
      <c r="G167" s="32" t="n">
        <f aca="false">((290*2)+252)*1.05</f>
        <v>873.6</v>
      </c>
      <c r="H167" s="32" t="n">
        <f aca="false">F167*G167</f>
        <v>873.6</v>
      </c>
      <c r="I167" s="37" t="s">
        <v>108</v>
      </c>
      <c r="J167" s="33"/>
    </row>
    <row r="168" customFormat="false" ht="15" hidden="false" customHeight="false" outlineLevel="0" collapsed="false">
      <c r="A168" s="29" t="n">
        <v>167</v>
      </c>
      <c r="B168" s="38" t="s">
        <v>20</v>
      </c>
      <c r="C168" s="35" t="s">
        <v>8</v>
      </c>
      <c r="D168" s="30" t="s">
        <v>211</v>
      </c>
      <c r="E168" s="31" t="s">
        <v>176</v>
      </c>
      <c r="F168" s="31" t="n">
        <v>1</v>
      </c>
      <c r="G168" s="32" t="n">
        <f aca="false">((290*2.25)+252)*1.05</f>
        <v>949.725</v>
      </c>
      <c r="H168" s="32" t="n">
        <f aca="false">F168*G168</f>
        <v>949.725</v>
      </c>
      <c r="I168" s="37" t="s">
        <v>108</v>
      </c>
      <c r="J168" s="33"/>
    </row>
    <row r="169" customFormat="false" ht="15" hidden="false" customHeight="false" outlineLevel="0" collapsed="false">
      <c r="A169" s="29" t="n">
        <v>168</v>
      </c>
      <c r="B169" s="36" t="s">
        <v>20</v>
      </c>
      <c r="C169" s="35" t="s">
        <v>8</v>
      </c>
      <c r="D169" s="30" t="s">
        <v>212</v>
      </c>
      <c r="E169" s="31" t="s">
        <v>176</v>
      </c>
      <c r="F169" s="31" t="n">
        <v>0</v>
      </c>
      <c r="G169" s="32" t="n">
        <f aca="false">((290*2)+252)*1.05</f>
        <v>873.6</v>
      </c>
      <c r="H169" s="32" t="n">
        <f aca="false">F169*G169</f>
        <v>0</v>
      </c>
      <c r="I169" s="37" t="s">
        <v>108</v>
      </c>
      <c r="J169" s="33"/>
    </row>
    <row r="170" customFormat="false" ht="15" hidden="false" customHeight="false" outlineLevel="0" collapsed="false">
      <c r="A170" s="29" t="n">
        <v>169</v>
      </c>
      <c r="B170" s="38" t="s">
        <v>20</v>
      </c>
      <c r="C170" s="35" t="s">
        <v>8</v>
      </c>
      <c r="D170" s="30" t="s">
        <v>213</v>
      </c>
      <c r="E170" s="31" t="s">
        <v>176</v>
      </c>
      <c r="F170" s="31" t="n">
        <v>0</v>
      </c>
      <c r="G170" s="32" t="n">
        <f aca="false">((290*2.25)+252)*1.05</f>
        <v>949.725</v>
      </c>
      <c r="H170" s="32" t="n">
        <f aca="false">F170*G170</f>
        <v>0</v>
      </c>
      <c r="I170" s="37" t="s">
        <v>108</v>
      </c>
      <c r="J170" s="33"/>
    </row>
    <row r="171" customFormat="false" ht="15" hidden="false" customHeight="false" outlineLevel="0" collapsed="false">
      <c r="A171" s="29" t="n">
        <v>170</v>
      </c>
      <c r="B171" s="36" t="s">
        <v>20</v>
      </c>
      <c r="C171" s="35" t="s">
        <v>8</v>
      </c>
      <c r="D171" s="30" t="s">
        <v>214</v>
      </c>
      <c r="E171" s="31" t="s">
        <v>176</v>
      </c>
      <c r="F171" s="31" t="n">
        <v>2</v>
      </c>
      <c r="G171" s="32" t="n">
        <f aca="false">((290*2)+252)*1.05</f>
        <v>873.6</v>
      </c>
      <c r="H171" s="32" t="n">
        <f aca="false">F171*G171</f>
        <v>1747.2</v>
      </c>
      <c r="I171" s="37" t="s">
        <v>108</v>
      </c>
      <c r="J171" s="33"/>
    </row>
    <row r="172" customFormat="false" ht="15" hidden="false" customHeight="false" outlineLevel="0" collapsed="false">
      <c r="A172" s="29" t="n">
        <v>171</v>
      </c>
      <c r="B172" s="38" t="s">
        <v>20</v>
      </c>
      <c r="C172" s="35" t="s">
        <v>8</v>
      </c>
      <c r="D172" s="30" t="s">
        <v>215</v>
      </c>
      <c r="E172" s="31" t="s">
        <v>176</v>
      </c>
      <c r="F172" s="31" t="n">
        <v>0</v>
      </c>
      <c r="G172" s="32" t="n">
        <f aca="false">((290*2.25)+252)*1.05</f>
        <v>949.725</v>
      </c>
      <c r="H172" s="32" t="n">
        <f aca="false">F172*G172</f>
        <v>0</v>
      </c>
      <c r="I172" s="37" t="s">
        <v>108</v>
      </c>
      <c r="J172" s="33"/>
    </row>
    <row r="173" customFormat="false" ht="15" hidden="false" customHeight="false" outlineLevel="0" collapsed="false">
      <c r="A173" s="29" t="n">
        <v>172</v>
      </c>
      <c r="B173" s="36" t="s">
        <v>20</v>
      </c>
      <c r="C173" s="35" t="s">
        <v>8</v>
      </c>
      <c r="D173" s="30" t="s">
        <v>216</v>
      </c>
      <c r="E173" s="31" t="s">
        <v>176</v>
      </c>
      <c r="F173" s="31" t="n">
        <v>3</v>
      </c>
      <c r="G173" s="32" t="n">
        <f aca="false">((290*2)+252)*1.05</f>
        <v>873.6</v>
      </c>
      <c r="H173" s="32" t="n">
        <f aca="false">F173*G173</f>
        <v>2620.8</v>
      </c>
      <c r="I173" s="37" t="s">
        <v>108</v>
      </c>
      <c r="J173" s="33"/>
    </row>
    <row r="174" customFormat="false" ht="15" hidden="false" customHeight="false" outlineLevel="0" collapsed="false">
      <c r="A174" s="29" t="n">
        <v>173</v>
      </c>
      <c r="B174" s="38" t="s">
        <v>20</v>
      </c>
      <c r="C174" s="35" t="s">
        <v>8</v>
      </c>
      <c r="D174" s="30" t="s">
        <v>217</v>
      </c>
      <c r="E174" s="31" t="s">
        <v>176</v>
      </c>
      <c r="F174" s="31" t="n">
        <v>0</v>
      </c>
      <c r="G174" s="32" t="n">
        <f aca="false">((290*2.25)+252)*1.05</f>
        <v>949.725</v>
      </c>
      <c r="H174" s="32" t="n">
        <f aca="false">F174*G174</f>
        <v>0</v>
      </c>
      <c r="I174" s="37" t="s">
        <v>108</v>
      </c>
      <c r="J174" s="33"/>
    </row>
    <row r="175" customFormat="false" ht="15" hidden="false" customHeight="false" outlineLevel="0" collapsed="false">
      <c r="A175" s="29" t="n">
        <v>174</v>
      </c>
      <c r="B175" s="36" t="s">
        <v>20</v>
      </c>
      <c r="C175" s="35" t="s">
        <v>8</v>
      </c>
      <c r="D175" s="30" t="s">
        <v>218</v>
      </c>
      <c r="E175" s="31" t="s">
        <v>176</v>
      </c>
      <c r="F175" s="31" t="n">
        <v>0</v>
      </c>
      <c r="G175" s="32" t="n">
        <f aca="false">((290*2)+252)*1.05</f>
        <v>873.6</v>
      </c>
      <c r="H175" s="32" t="n">
        <f aca="false">F175*G175</f>
        <v>0</v>
      </c>
      <c r="I175" s="37" t="s">
        <v>108</v>
      </c>
      <c r="J175" s="33"/>
    </row>
    <row r="176" customFormat="false" ht="15" hidden="false" customHeight="false" outlineLevel="0" collapsed="false">
      <c r="A176" s="29" t="n">
        <v>175</v>
      </c>
      <c r="B176" s="38" t="s">
        <v>20</v>
      </c>
      <c r="C176" s="35" t="s">
        <v>8</v>
      </c>
      <c r="D176" s="30" t="s">
        <v>219</v>
      </c>
      <c r="E176" s="31" t="s">
        <v>176</v>
      </c>
      <c r="F176" s="31" t="n">
        <v>1</v>
      </c>
      <c r="G176" s="32" t="n">
        <f aca="false">((290*2.25)+252)*1.05</f>
        <v>949.725</v>
      </c>
      <c r="H176" s="32" t="n">
        <f aca="false">F176*G176</f>
        <v>949.725</v>
      </c>
      <c r="I176" s="37" t="s">
        <v>108</v>
      </c>
      <c r="J176" s="33"/>
    </row>
    <row r="177" customFormat="false" ht="15" hidden="false" customHeight="false" outlineLevel="0" collapsed="false">
      <c r="A177" s="29" t="n">
        <v>176</v>
      </c>
      <c r="B177" s="36" t="s">
        <v>20</v>
      </c>
      <c r="C177" s="35" t="s">
        <v>8</v>
      </c>
      <c r="D177" s="30" t="s">
        <v>220</v>
      </c>
      <c r="E177" s="31" t="s">
        <v>176</v>
      </c>
      <c r="F177" s="31" t="n">
        <v>1</v>
      </c>
      <c r="G177" s="32" t="n">
        <f aca="false">((290*2)+252)*1.05</f>
        <v>873.6</v>
      </c>
      <c r="H177" s="32" t="n">
        <f aca="false">F177*G177</f>
        <v>873.6</v>
      </c>
      <c r="I177" s="37" t="s">
        <v>108</v>
      </c>
      <c r="J177" s="33"/>
    </row>
    <row r="178" customFormat="false" ht="15" hidden="false" customHeight="false" outlineLevel="0" collapsed="false">
      <c r="A178" s="29" t="n">
        <v>177</v>
      </c>
      <c r="B178" s="38" t="s">
        <v>20</v>
      </c>
      <c r="C178" s="35" t="s">
        <v>8</v>
      </c>
      <c r="D178" s="30" t="s">
        <v>221</v>
      </c>
      <c r="E178" s="31" t="s">
        <v>176</v>
      </c>
      <c r="F178" s="31" t="n">
        <v>0</v>
      </c>
      <c r="G178" s="32" t="n">
        <f aca="false">((290*2.25)+252)*1.05</f>
        <v>949.725</v>
      </c>
      <c r="H178" s="32" t="n">
        <f aca="false">F178*G178</f>
        <v>0</v>
      </c>
      <c r="I178" s="37" t="s">
        <v>108</v>
      </c>
      <c r="J178" s="33"/>
    </row>
    <row r="179" customFormat="false" ht="15" hidden="false" customHeight="false" outlineLevel="0" collapsed="false">
      <c r="A179" s="29" t="n">
        <v>178</v>
      </c>
      <c r="B179" s="36" t="s">
        <v>20</v>
      </c>
      <c r="C179" s="35" t="s">
        <v>8</v>
      </c>
      <c r="D179" s="30" t="s">
        <v>220</v>
      </c>
      <c r="E179" s="31" t="s">
        <v>176</v>
      </c>
      <c r="F179" s="31" t="n">
        <v>1</v>
      </c>
      <c r="G179" s="32" t="n">
        <f aca="false">((290*2)+252)*1.05</f>
        <v>873.6</v>
      </c>
      <c r="H179" s="32" t="n">
        <f aca="false">F179*G179</f>
        <v>873.6</v>
      </c>
      <c r="I179" s="37" t="s">
        <v>108</v>
      </c>
      <c r="J179" s="33"/>
    </row>
    <row r="180" customFormat="false" ht="15" hidden="false" customHeight="false" outlineLevel="0" collapsed="false">
      <c r="A180" s="29" t="n">
        <v>179</v>
      </c>
      <c r="B180" s="38" t="s">
        <v>20</v>
      </c>
      <c r="C180" s="35" t="s">
        <v>8</v>
      </c>
      <c r="D180" s="30" t="s">
        <v>221</v>
      </c>
      <c r="E180" s="31" t="s">
        <v>176</v>
      </c>
      <c r="F180" s="31" t="n">
        <v>0</v>
      </c>
      <c r="G180" s="32" t="n">
        <f aca="false">((290*2.25)+252)*1.05</f>
        <v>949.725</v>
      </c>
      <c r="H180" s="32" t="n">
        <f aca="false">F180*G180</f>
        <v>0</v>
      </c>
      <c r="I180" s="37" t="s">
        <v>108</v>
      </c>
      <c r="J180" s="33"/>
    </row>
    <row r="181" customFormat="false" ht="15" hidden="false" customHeight="false" outlineLevel="0" collapsed="false">
      <c r="A181" s="29" t="n">
        <v>180</v>
      </c>
      <c r="B181" s="36" t="s">
        <v>20</v>
      </c>
      <c r="C181" s="35" t="s">
        <v>8</v>
      </c>
      <c r="D181" s="30" t="s">
        <v>222</v>
      </c>
      <c r="E181" s="31" t="s">
        <v>176</v>
      </c>
      <c r="F181" s="31" t="n">
        <v>3</v>
      </c>
      <c r="G181" s="32" t="n">
        <f aca="false">((290*2)+252)*1.05</f>
        <v>873.6</v>
      </c>
      <c r="H181" s="32" t="n">
        <f aca="false">F181*G181</f>
        <v>2620.8</v>
      </c>
      <c r="I181" s="37" t="s">
        <v>108</v>
      </c>
      <c r="J181" s="33"/>
    </row>
    <row r="182" customFormat="false" ht="15" hidden="false" customHeight="false" outlineLevel="0" collapsed="false">
      <c r="A182" s="29" t="n">
        <v>181</v>
      </c>
      <c r="B182" s="38" t="s">
        <v>20</v>
      </c>
      <c r="C182" s="35" t="s">
        <v>8</v>
      </c>
      <c r="D182" s="30" t="s">
        <v>223</v>
      </c>
      <c r="E182" s="31" t="s">
        <v>176</v>
      </c>
      <c r="F182" s="31" t="n">
        <v>3</v>
      </c>
      <c r="G182" s="32" t="n">
        <f aca="false">((290*2.25)+252)*1.05</f>
        <v>949.725</v>
      </c>
      <c r="H182" s="32" t="n">
        <f aca="false">F182*G182</f>
        <v>2849.175</v>
      </c>
      <c r="I182" s="37" t="s">
        <v>108</v>
      </c>
      <c r="J182" s="33"/>
    </row>
    <row r="183" customFormat="false" ht="15" hidden="false" customHeight="false" outlineLevel="0" collapsed="false">
      <c r="A183" s="29" t="n">
        <v>182</v>
      </c>
      <c r="B183" s="36" t="s">
        <v>1</v>
      </c>
      <c r="C183" s="35" t="s">
        <v>8</v>
      </c>
      <c r="D183" s="30" t="s">
        <v>223</v>
      </c>
      <c r="E183" s="31" t="s">
        <v>176</v>
      </c>
      <c r="F183" s="31" t="n">
        <v>4</v>
      </c>
      <c r="G183" s="32" t="n">
        <f aca="false">((290*2.25)+252)*1.05</f>
        <v>949.725</v>
      </c>
      <c r="H183" s="32" t="n">
        <f aca="false">F183*G183</f>
        <v>3798.9</v>
      </c>
      <c r="I183" s="37" t="s">
        <v>108</v>
      </c>
      <c r="J183" s="33"/>
    </row>
    <row r="184" customFormat="false" ht="15" hidden="false" customHeight="false" outlineLevel="0" collapsed="false">
      <c r="A184" s="29" t="n">
        <v>183</v>
      </c>
      <c r="B184" s="38" t="s">
        <v>20</v>
      </c>
      <c r="C184" s="35" t="s">
        <v>8</v>
      </c>
      <c r="D184" s="30" t="s">
        <v>224</v>
      </c>
      <c r="E184" s="31" t="s">
        <v>176</v>
      </c>
      <c r="F184" s="31" t="n">
        <v>2</v>
      </c>
      <c r="G184" s="32" t="n">
        <f aca="false">((290*2)+252)*1.05</f>
        <v>873.6</v>
      </c>
      <c r="H184" s="32" t="n">
        <f aca="false">F184*G184</f>
        <v>1747.2</v>
      </c>
      <c r="I184" s="37" t="s">
        <v>108</v>
      </c>
      <c r="J184" s="33"/>
    </row>
    <row r="185" customFormat="false" ht="15" hidden="false" customHeight="false" outlineLevel="0" collapsed="false">
      <c r="A185" s="29" t="n">
        <v>184</v>
      </c>
      <c r="B185" s="36" t="s">
        <v>20</v>
      </c>
      <c r="C185" s="35" t="s">
        <v>8</v>
      </c>
      <c r="D185" s="30" t="s">
        <v>225</v>
      </c>
      <c r="E185" s="31" t="s">
        <v>176</v>
      </c>
      <c r="F185" s="31" t="n">
        <v>2</v>
      </c>
      <c r="G185" s="32" t="n">
        <f aca="false">((290*2.25)+252)*1.05</f>
        <v>949.725</v>
      </c>
      <c r="H185" s="32" t="n">
        <f aca="false">F185*G185</f>
        <v>1899.45</v>
      </c>
      <c r="I185" s="37" t="s">
        <v>108</v>
      </c>
      <c r="J185" s="33"/>
    </row>
    <row r="186" customFormat="false" ht="15" hidden="false" customHeight="false" outlineLevel="0" collapsed="false">
      <c r="A186" s="29" t="n">
        <v>185</v>
      </c>
      <c r="B186" s="38" t="s">
        <v>20</v>
      </c>
      <c r="C186" s="35" t="s">
        <v>8</v>
      </c>
      <c r="D186" s="30" t="s">
        <v>226</v>
      </c>
      <c r="E186" s="31" t="s">
        <v>176</v>
      </c>
      <c r="F186" s="31" t="n">
        <v>0</v>
      </c>
      <c r="G186" s="32" t="n">
        <f aca="false">((290*2)+252)*1.05</f>
        <v>873.6</v>
      </c>
      <c r="H186" s="32" t="n">
        <f aca="false">F186*G186</f>
        <v>0</v>
      </c>
      <c r="I186" s="37" t="s">
        <v>108</v>
      </c>
      <c r="J186" s="33"/>
    </row>
    <row r="187" customFormat="false" ht="15" hidden="false" customHeight="false" outlineLevel="0" collapsed="false">
      <c r="A187" s="29" t="n">
        <v>186</v>
      </c>
      <c r="B187" s="36" t="s">
        <v>20</v>
      </c>
      <c r="C187" s="35" t="s">
        <v>8</v>
      </c>
      <c r="D187" s="30" t="s">
        <v>227</v>
      </c>
      <c r="E187" s="31" t="s">
        <v>176</v>
      </c>
      <c r="F187" s="31" t="n">
        <v>0</v>
      </c>
      <c r="G187" s="32" t="n">
        <f aca="false">((290*2.25)+252)*1.05</f>
        <v>949.725</v>
      </c>
      <c r="H187" s="32" t="n">
        <f aca="false">F187*G187</f>
        <v>0</v>
      </c>
      <c r="I187" s="37" t="s">
        <v>108</v>
      </c>
      <c r="J187" s="33"/>
    </row>
    <row r="188" customFormat="false" ht="15" hidden="false" customHeight="false" outlineLevel="0" collapsed="false">
      <c r="A188" s="29" t="n">
        <v>187</v>
      </c>
      <c r="B188" s="38" t="s">
        <v>20</v>
      </c>
      <c r="C188" s="35" t="s">
        <v>8</v>
      </c>
      <c r="D188" s="30" t="s">
        <v>228</v>
      </c>
      <c r="E188" s="31" t="s">
        <v>176</v>
      </c>
      <c r="F188" s="31" t="n">
        <v>4</v>
      </c>
      <c r="G188" s="32" t="n">
        <f aca="false">((290*2)+252)*1.05</f>
        <v>873.6</v>
      </c>
      <c r="H188" s="32" t="n">
        <f aca="false">F188*G188</f>
        <v>3494.4</v>
      </c>
      <c r="I188" s="37" t="s">
        <v>108</v>
      </c>
      <c r="J188" s="33"/>
    </row>
    <row r="189" customFormat="false" ht="15" hidden="false" customHeight="false" outlineLevel="0" collapsed="false">
      <c r="A189" s="29" t="n">
        <v>188</v>
      </c>
      <c r="B189" s="36" t="s">
        <v>20</v>
      </c>
      <c r="C189" s="35" t="s">
        <v>8</v>
      </c>
      <c r="D189" s="30" t="s">
        <v>229</v>
      </c>
      <c r="E189" s="31" t="s">
        <v>176</v>
      </c>
      <c r="F189" s="31" t="n">
        <v>1</v>
      </c>
      <c r="G189" s="32" t="n">
        <f aca="false">((290*2.25)+252)*1.05</f>
        <v>949.725</v>
      </c>
      <c r="H189" s="32" t="n">
        <f aca="false">F189*G189</f>
        <v>949.725</v>
      </c>
      <c r="I189" s="37" t="s">
        <v>108</v>
      </c>
      <c r="J189" s="33"/>
    </row>
    <row r="190" customFormat="false" ht="15" hidden="false" customHeight="false" outlineLevel="0" collapsed="false">
      <c r="A190" s="29" t="n">
        <v>189</v>
      </c>
      <c r="B190" s="38" t="s">
        <v>20</v>
      </c>
      <c r="C190" s="35" t="s">
        <v>8</v>
      </c>
      <c r="D190" s="30" t="s">
        <v>230</v>
      </c>
      <c r="E190" s="31" t="s">
        <v>176</v>
      </c>
      <c r="F190" s="31" t="n">
        <v>1</v>
      </c>
      <c r="G190" s="32" t="n">
        <f aca="false">((290*2)+252)*1.05</f>
        <v>873.6</v>
      </c>
      <c r="H190" s="32" t="n">
        <f aca="false">F190*G190</f>
        <v>873.6</v>
      </c>
      <c r="I190" s="37" t="s">
        <v>108</v>
      </c>
      <c r="J190" s="33"/>
    </row>
    <row r="191" customFormat="false" ht="15" hidden="false" customHeight="false" outlineLevel="0" collapsed="false">
      <c r="A191" s="29" t="n">
        <v>190</v>
      </c>
      <c r="B191" s="36" t="s">
        <v>20</v>
      </c>
      <c r="C191" s="35" t="s">
        <v>8</v>
      </c>
      <c r="D191" s="30" t="s">
        <v>231</v>
      </c>
      <c r="E191" s="31" t="s">
        <v>176</v>
      </c>
      <c r="F191" s="31" t="n">
        <v>2</v>
      </c>
      <c r="G191" s="32" t="n">
        <f aca="false">((290*2.25)+252)*1.05</f>
        <v>949.725</v>
      </c>
      <c r="H191" s="32" t="n">
        <f aca="false">F191*G191</f>
        <v>1899.45</v>
      </c>
      <c r="I191" s="37" t="s">
        <v>108</v>
      </c>
      <c r="J191" s="33"/>
    </row>
    <row r="192" customFormat="false" ht="15" hidden="false" customHeight="false" outlineLevel="0" collapsed="false">
      <c r="A192" s="29" t="n">
        <v>191</v>
      </c>
      <c r="B192" s="38" t="s">
        <v>1</v>
      </c>
      <c r="C192" s="35" t="s">
        <v>8</v>
      </c>
      <c r="D192" s="30" t="s">
        <v>231</v>
      </c>
      <c r="E192" s="31" t="s">
        <v>176</v>
      </c>
      <c r="F192" s="31" t="n">
        <v>3</v>
      </c>
      <c r="G192" s="32" t="n">
        <f aca="false">((290*2.25)+252)*1.05</f>
        <v>949.725</v>
      </c>
      <c r="H192" s="32" t="n">
        <f aca="false">F192*G192</f>
        <v>2849.175</v>
      </c>
      <c r="I192" s="37" t="s">
        <v>108</v>
      </c>
      <c r="J192" s="33"/>
    </row>
    <row r="193" customFormat="false" ht="15" hidden="false" customHeight="false" outlineLevel="0" collapsed="false">
      <c r="A193" s="29" t="n">
        <v>192</v>
      </c>
      <c r="B193" s="36" t="s">
        <v>1</v>
      </c>
      <c r="C193" s="35" t="s">
        <v>8</v>
      </c>
      <c r="D193" s="30" t="s">
        <v>231</v>
      </c>
      <c r="E193" s="31" t="s">
        <v>176</v>
      </c>
      <c r="F193" s="31" t="n">
        <v>3</v>
      </c>
      <c r="G193" s="32" t="n">
        <f aca="false">((290*2.25)+252)*1.05</f>
        <v>949.725</v>
      </c>
      <c r="H193" s="32" t="n">
        <f aca="false">F193*G193</f>
        <v>2849.175</v>
      </c>
      <c r="I193" s="37" t="s">
        <v>108</v>
      </c>
      <c r="J193" s="33"/>
    </row>
    <row r="194" customFormat="false" ht="15" hidden="false" customHeight="false" outlineLevel="0" collapsed="false">
      <c r="A194" s="29" t="n">
        <v>193</v>
      </c>
      <c r="B194" s="38" t="s">
        <v>20</v>
      </c>
      <c r="C194" s="35" t="s">
        <v>8</v>
      </c>
      <c r="D194" s="30" t="s">
        <v>232</v>
      </c>
      <c r="E194" s="31" t="s">
        <v>176</v>
      </c>
      <c r="F194" s="31" t="n">
        <v>0</v>
      </c>
      <c r="G194" s="32" t="n">
        <f aca="false">((290*2)+252)*1.05</f>
        <v>873.6</v>
      </c>
      <c r="H194" s="32" t="n">
        <f aca="false">F194*G194</f>
        <v>0</v>
      </c>
      <c r="I194" s="37" t="s">
        <v>108</v>
      </c>
      <c r="J194" s="33"/>
    </row>
    <row r="195" customFormat="false" ht="15" hidden="false" customHeight="false" outlineLevel="0" collapsed="false">
      <c r="A195" s="29" t="n">
        <v>194</v>
      </c>
      <c r="B195" s="36" t="s">
        <v>20</v>
      </c>
      <c r="C195" s="35" t="s">
        <v>8</v>
      </c>
      <c r="D195" s="30" t="s">
        <v>233</v>
      </c>
      <c r="E195" s="31" t="s">
        <v>176</v>
      </c>
      <c r="F195" s="31" t="n">
        <v>0</v>
      </c>
      <c r="G195" s="32" t="n">
        <f aca="false">((290*2.25)+252)*1.05</f>
        <v>949.725</v>
      </c>
      <c r="H195" s="32" t="n">
        <f aca="false">F195*G195</f>
        <v>0</v>
      </c>
      <c r="I195" s="37" t="s">
        <v>108</v>
      </c>
      <c r="J195" s="33"/>
    </row>
    <row r="196" customFormat="false" ht="15" hidden="false" customHeight="false" outlineLevel="0" collapsed="false">
      <c r="A196" s="29" t="n">
        <v>195</v>
      </c>
      <c r="B196" s="38" t="s">
        <v>20</v>
      </c>
      <c r="C196" s="35" t="s">
        <v>8</v>
      </c>
      <c r="D196" s="30" t="s">
        <v>234</v>
      </c>
      <c r="E196" s="31" t="s">
        <v>176</v>
      </c>
      <c r="F196" s="31" t="n">
        <v>5</v>
      </c>
      <c r="G196" s="32" t="n">
        <f aca="false">((290*2)+252)*1.05</f>
        <v>873.6</v>
      </c>
      <c r="H196" s="32" t="n">
        <f aca="false">F196*G196</f>
        <v>4368</v>
      </c>
      <c r="I196" s="37" t="s">
        <v>108</v>
      </c>
      <c r="J196" s="33"/>
    </row>
    <row r="197" customFormat="false" ht="15" hidden="false" customHeight="false" outlineLevel="0" collapsed="false">
      <c r="A197" s="29" t="n">
        <v>196</v>
      </c>
      <c r="B197" s="36" t="s">
        <v>20</v>
      </c>
      <c r="C197" s="35" t="s">
        <v>8</v>
      </c>
      <c r="D197" s="30" t="s">
        <v>235</v>
      </c>
      <c r="E197" s="31" t="s">
        <v>176</v>
      </c>
      <c r="F197" s="31" t="n">
        <v>3</v>
      </c>
      <c r="G197" s="32" t="n">
        <f aca="false">((290*2.25)+252)*1.05</f>
        <v>949.725</v>
      </c>
      <c r="H197" s="32" t="n">
        <f aca="false">F197*G197</f>
        <v>2849.175</v>
      </c>
      <c r="I197" s="37" t="s">
        <v>108</v>
      </c>
      <c r="J197" s="33"/>
    </row>
    <row r="198" customFormat="false" ht="15" hidden="false" customHeight="false" outlineLevel="0" collapsed="false">
      <c r="A198" s="29" t="n">
        <v>197</v>
      </c>
      <c r="B198" s="38" t="s">
        <v>20</v>
      </c>
      <c r="C198" s="35" t="s">
        <v>8</v>
      </c>
      <c r="D198" s="30" t="s">
        <v>236</v>
      </c>
      <c r="E198" s="31" t="s">
        <v>176</v>
      </c>
      <c r="F198" s="31" t="n">
        <v>1</v>
      </c>
      <c r="G198" s="32" t="n">
        <f aca="false">((290*2)+252)*1.05</f>
        <v>873.6</v>
      </c>
      <c r="H198" s="32" t="n">
        <f aca="false">F198*G198</f>
        <v>873.6</v>
      </c>
      <c r="I198" s="37" t="s">
        <v>108</v>
      </c>
      <c r="J198" s="33"/>
    </row>
    <row r="199" customFormat="false" ht="15" hidden="false" customHeight="false" outlineLevel="0" collapsed="false">
      <c r="A199" s="29" t="n">
        <v>198</v>
      </c>
      <c r="B199" s="36" t="s">
        <v>20</v>
      </c>
      <c r="C199" s="35" t="s">
        <v>8</v>
      </c>
      <c r="D199" s="30" t="s">
        <v>237</v>
      </c>
      <c r="E199" s="31" t="s">
        <v>176</v>
      </c>
      <c r="F199" s="31" t="n">
        <v>4</v>
      </c>
      <c r="G199" s="32" t="n">
        <f aca="false">((290*2.25)+252)*1.05</f>
        <v>949.725</v>
      </c>
      <c r="H199" s="32" t="n">
        <f aca="false">F199*G199</f>
        <v>3798.9</v>
      </c>
      <c r="I199" s="37" t="s">
        <v>108</v>
      </c>
      <c r="J199" s="33"/>
    </row>
    <row r="200" customFormat="false" ht="15" hidden="false" customHeight="false" outlineLevel="0" collapsed="false">
      <c r="A200" s="29" t="n">
        <v>199</v>
      </c>
      <c r="B200" s="38" t="s">
        <v>20</v>
      </c>
      <c r="C200" s="35" t="s">
        <v>8</v>
      </c>
      <c r="D200" s="30" t="s">
        <v>238</v>
      </c>
      <c r="E200" s="31" t="s">
        <v>176</v>
      </c>
      <c r="F200" s="31" t="n">
        <v>1</v>
      </c>
      <c r="G200" s="32" t="n">
        <f aca="false">((290*2)+252)*1.05</f>
        <v>873.6</v>
      </c>
      <c r="H200" s="32" t="n">
        <f aca="false">F200*G200</f>
        <v>873.6</v>
      </c>
      <c r="I200" s="37" t="s">
        <v>108</v>
      </c>
      <c r="J200" s="33"/>
    </row>
    <row r="201" customFormat="false" ht="15" hidden="false" customHeight="false" outlineLevel="0" collapsed="false">
      <c r="A201" s="29" t="n">
        <v>200</v>
      </c>
      <c r="B201" s="36" t="s">
        <v>1</v>
      </c>
      <c r="C201" s="35" t="s">
        <v>8</v>
      </c>
      <c r="D201" s="30" t="s">
        <v>238</v>
      </c>
      <c r="E201" s="31" t="s">
        <v>176</v>
      </c>
      <c r="F201" s="31" t="n">
        <v>4</v>
      </c>
      <c r="G201" s="32" t="n">
        <f aca="false">((290*2)+252)*1.05</f>
        <v>873.6</v>
      </c>
      <c r="H201" s="32" t="n">
        <f aca="false">F201*G201</f>
        <v>3494.4</v>
      </c>
      <c r="I201" s="37" t="s">
        <v>108</v>
      </c>
      <c r="J201" s="33"/>
    </row>
    <row r="202" customFormat="false" ht="15" hidden="false" customHeight="false" outlineLevel="0" collapsed="false">
      <c r="A202" s="29" t="n">
        <v>201</v>
      </c>
      <c r="B202" s="38" t="s">
        <v>20</v>
      </c>
      <c r="C202" s="35" t="s">
        <v>8</v>
      </c>
      <c r="D202" s="30" t="s">
        <v>239</v>
      </c>
      <c r="E202" s="31" t="s">
        <v>176</v>
      </c>
      <c r="F202" s="31" t="n">
        <v>3</v>
      </c>
      <c r="G202" s="32" t="n">
        <f aca="false">((290*2.25)+252)*1.05</f>
        <v>949.725</v>
      </c>
      <c r="H202" s="32" t="n">
        <f aca="false">F202*G202</f>
        <v>2849.175</v>
      </c>
      <c r="I202" s="37" t="s">
        <v>108</v>
      </c>
      <c r="J202" s="33"/>
    </row>
    <row r="203" customFormat="false" ht="15" hidden="false" customHeight="false" outlineLevel="0" collapsed="false">
      <c r="A203" s="29" t="n">
        <v>202</v>
      </c>
      <c r="B203" s="36" t="s">
        <v>20</v>
      </c>
      <c r="C203" s="35" t="s">
        <v>8</v>
      </c>
      <c r="D203" s="30" t="s">
        <v>240</v>
      </c>
      <c r="E203" s="31" t="s">
        <v>176</v>
      </c>
      <c r="F203" s="31" t="n">
        <v>5</v>
      </c>
      <c r="G203" s="32" t="n">
        <f aca="false">((290*2)+252)*1.05</f>
        <v>873.6</v>
      </c>
      <c r="H203" s="32" t="n">
        <f aca="false">F203*G203</f>
        <v>4368</v>
      </c>
      <c r="I203" s="37" t="s">
        <v>108</v>
      </c>
      <c r="J203" s="33"/>
    </row>
    <row r="204" customFormat="false" ht="15" hidden="false" customHeight="false" outlineLevel="0" collapsed="false">
      <c r="A204" s="29" t="n">
        <v>203</v>
      </c>
      <c r="B204" s="38" t="s">
        <v>20</v>
      </c>
      <c r="C204" s="35" t="s">
        <v>8</v>
      </c>
      <c r="D204" s="30" t="s">
        <v>241</v>
      </c>
      <c r="E204" s="31" t="s">
        <v>176</v>
      </c>
      <c r="F204" s="31" t="n">
        <v>3</v>
      </c>
      <c r="G204" s="32" t="n">
        <f aca="false">((290*2.25)+252)*1.05</f>
        <v>949.725</v>
      </c>
      <c r="H204" s="32" t="n">
        <f aca="false">F204*G204</f>
        <v>2849.175</v>
      </c>
      <c r="I204" s="37" t="s">
        <v>108</v>
      </c>
      <c r="J204" s="33"/>
    </row>
    <row r="205" customFormat="false" ht="15" hidden="false" customHeight="false" outlineLevel="0" collapsed="false">
      <c r="A205" s="29" t="n">
        <v>204</v>
      </c>
      <c r="B205" s="36" t="s">
        <v>20</v>
      </c>
      <c r="C205" s="35" t="s">
        <v>8</v>
      </c>
      <c r="D205" s="30" t="s">
        <v>242</v>
      </c>
      <c r="E205" s="31" t="s">
        <v>176</v>
      </c>
      <c r="F205" s="31" t="n">
        <v>0</v>
      </c>
      <c r="G205" s="32" t="n">
        <f aca="false">((290*2)+252)*1.05</f>
        <v>873.6</v>
      </c>
      <c r="H205" s="32" t="n">
        <f aca="false">F205*G205</f>
        <v>0</v>
      </c>
      <c r="I205" s="37" t="s">
        <v>108</v>
      </c>
      <c r="J205" s="33"/>
    </row>
    <row r="206" customFormat="false" ht="15" hidden="false" customHeight="false" outlineLevel="0" collapsed="false">
      <c r="A206" s="29" t="n">
        <v>205</v>
      </c>
      <c r="B206" s="38" t="s">
        <v>20</v>
      </c>
      <c r="C206" s="35" t="s">
        <v>8</v>
      </c>
      <c r="D206" s="30" t="s">
        <v>243</v>
      </c>
      <c r="E206" s="31" t="s">
        <v>176</v>
      </c>
      <c r="F206" s="31" t="n">
        <v>4</v>
      </c>
      <c r="G206" s="32" t="n">
        <f aca="false">((290*2.25)+252)*1.05</f>
        <v>949.725</v>
      </c>
      <c r="H206" s="32" t="n">
        <f aca="false">F206*G206</f>
        <v>3798.9</v>
      </c>
      <c r="I206" s="37" t="s">
        <v>108</v>
      </c>
      <c r="J206" s="33"/>
    </row>
    <row r="207" customFormat="false" ht="15" hidden="false" customHeight="false" outlineLevel="0" collapsed="false">
      <c r="A207" s="29" t="n">
        <v>206</v>
      </c>
      <c r="B207" s="36" t="s">
        <v>20</v>
      </c>
      <c r="C207" s="35" t="s">
        <v>8</v>
      </c>
      <c r="D207" s="30" t="s">
        <v>244</v>
      </c>
      <c r="E207" s="31" t="s">
        <v>176</v>
      </c>
      <c r="F207" s="31" t="n">
        <v>1</v>
      </c>
      <c r="G207" s="32" t="n">
        <f aca="false">((290*2)+252)*1.05</f>
        <v>873.6</v>
      </c>
      <c r="H207" s="32" t="n">
        <f aca="false">F207*G207</f>
        <v>873.6</v>
      </c>
      <c r="I207" s="37" t="s">
        <v>108</v>
      </c>
      <c r="J207" s="33"/>
    </row>
    <row r="208" customFormat="false" ht="15" hidden="false" customHeight="false" outlineLevel="0" collapsed="false">
      <c r="A208" s="29" t="n">
        <v>207</v>
      </c>
      <c r="B208" s="38" t="s">
        <v>20</v>
      </c>
      <c r="C208" s="35" t="s">
        <v>8</v>
      </c>
      <c r="D208" s="30" t="s">
        <v>245</v>
      </c>
      <c r="E208" s="31" t="s">
        <v>176</v>
      </c>
      <c r="F208" s="31" t="n">
        <v>0</v>
      </c>
      <c r="G208" s="32" t="n">
        <f aca="false">((290*2.25)+252)*1.05</f>
        <v>949.725</v>
      </c>
      <c r="H208" s="32" t="n">
        <f aca="false">F208*G208</f>
        <v>0</v>
      </c>
      <c r="I208" s="37" t="s">
        <v>108</v>
      </c>
      <c r="J208" s="33"/>
    </row>
    <row r="209" customFormat="false" ht="15" hidden="false" customHeight="false" outlineLevel="0" collapsed="false">
      <c r="A209" s="29" t="n">
        <v>208</v>
      </c>
      <c r="B209" s="36" t="s">
        <v>20</v>
      </c>
      <c r="C209" s="35" t="s">
        <v>8</v>
      </c>
      <c r="D209" s="30" t="s">
        <v>246</v>
      </c>
      <c r="E209" s="31" t="s">
        <v>176</v>
      </c>
      <c r="F209" s="31" t="n">
        <v>7</v>
      </c>
      <c r="G209" s="32" t="n">
        <f aca="false">((290*2)+252)*1.05</f>
        <v>873.6</v>
      </c>
      <c r="H209" s="32" t="n">
        <f aca="false">F209*G209</f>
        <v>6115.2</v>
      </c>
      <c r="I209" s="37" t="s">
        <v>108</v>
      </c>
      <c r="J209" s="33"/>
    </row>
    <row r="210" customFormat="false" ht="15" hidden="false" customHeight="false" outlineLevel="0" collapsed="false">
      <c r="A210" s="29" t="n">
        <v>209</v>
      </c>
      <c r="B210" s="38" t="s">
        <v>20</v>
      </c>
      <c r="C210" s="35" t="s">
        <v>8</v>
      </c>
      <c r="D210" s="30" t="s">
        <v>247</v>
      </c>
      <c r="E210" s="31" t="s">
        <v>176</v>
      </c>
      <c r="F210" s="31" t="n">
        <v>2</v>
      </c>
      <c r="G210" s="32" t="n">
        <f aca="false">((290*2.25)+252)*1.05</f>
        <v>949.725</v>
      </c>
      <c r="H210" s="32" t="n">
        <f aca="false">F210*G210</f>
        <v>1899.45</v>
      </c>
      <c r="I210" s="37" t="s">
        <v>108</v>
      </c>
      <c r="J210" s="33"/>
    </row>
    <row r="211" customFormat="false" ht="15" hidden="false" customHeight="false" outlineLevel="0" collapsed="false">
      <c r="A211" s="29" t="n">
        <v>210</v>
      </c>
      <c r="B211" s="36" t="s">
        <v>20</v>
      </c>
      <c r="C211" s="35" t="s">
        <v>8</v>
      </c>
      <c r="D211" s="30" t="s">
        <v>248</v>
      </c>
      <c r="E211" s="31" t="s">
        <v>176</v>
      </c>
      <c r="F211" s="31" t="n">
        <v>2</v>
      </c>
      <c r="G211" s="32" t="n">
        <f aca="false">((290*2)+252)*1.05</f>
        <v>873.6</v>
      </c>
      <c r="H211" s="32" t="n">
        <f aca="false">F211*G211</f>
        <v>1747.2</v>
      </c>
      <c r="I211" s="37" t="s">
        <v>108</v>
      </c>
      <c r="J211" s="33"/>
    </row>
    <row r="212" customFormat="false" ht="15" hidden="false" customHeight="false" outlineLevel="0" collapsed="false">
      <c r="A212" s="29" t="n">
        <v>211</v>
      </c>
      <c r="B212" s="38" t="s">
        <v>20</v>
      </c>
      <c r="C212" s="35" t="s">
        <v>8</v>
      </c>
      <c r="D212" s="30" t="s">
        <v>249</v>
      </c>
      <c r="E212" s="31" t="s">
        <v>176</v>
      </c>
      <c r="F212" s="31" t="n">
        <v>0</v>
      </c>
      <c r="G212" s="32" t="n">
        <f aca="false">((290*2.25)+252)*1.05</f>
        <v>949.725</v>
      </c>
      <c r="H212" s="32" t="n">
        <f aca="false">F212*G212</f>
        <v>0</v>
      </c>
      <c r="I212" s="37" t="s">
        <v>108</v>
      </c>
      <c r="J212" s="33"/>
    </row>
    <row r="213" customFormat="false" ht="15" hidden="false" customHeight="false" outlineLevel="0" collapsed="false">
      <c r="A213" s="29" t="n">
        <v>212</v>
      </c>
      <c r="B213" s="36" t="s">
        <v>20</v>
      </c>
      <c r="C213" s="35" t="s">
        <v>8</v>
      </c>
      <c r="D213" s="30" t="s">
        <v>250</v>
      </c>
      <c r="E213" s="31" t="s">
        <v>176</v>
      </c>
      <c r="F213" s="31" t="n">
        <v>0</v>
      </c>
      <c r="G213" s="32" t="n">
        <f aca="false">((290*2)+252)*1.05</f>
        <v>873.6</v>
      </c>
      <c r="H213" s="32" t="n">
        <f aca="false">F213*G213</f>
        <v>0</v>
      </c>
      <c r="I213" s="37" t="s">
        <v>108</v>
      </c>
      <c r="J213" s="33"/>
    </row>
    <row r="214" customFormat="false" ht="15" hidden="false" customHeight="false" outlineLevel="0" collapsed="false">
      <c r="A214" s="29" t="n">
        <v>213</v>
      </c>
      <c r="B214" s="38" t="s">
        <v>20</v>
      </c>
      <c r="C214" s="35" t="s">
        <v>8</v>
      </c>
      <c r="D214" s="30" t="s">
        <v>251</v>
      </c>
      <c r="E214" s="31" t="s">
        <v>176</v>
      </c>
      <c r="F214" s="31" t="n">
        <v>0</v>
      </c>
      <c r="G214" s="32" t="n">
        <f aca="false">((290*2.25)+252)*1.05</f>
        <v>949.725</v>
      </c>
      <c r="H214" s="32" t="n">
        <f aca="false">F214*G214</f>
        <v>0</v>
      </c>
      <c r="I214" s="37" t="s">
        <v>108</v>
      </c>
      <c r="J214" s="33"/>
    </row>
    <row r="215" customFormat="false" ht="15" hidden="false" customHeight="false" outlineLevel="0" collapsed="false">
      <c r="A215" s="29" t="n">
        <v>214</v>
      </c>
      <c r="B215" s="36" t="s">
        <v>20</v>
      </c>
      <c r="C215" s="35" t="s">
        <v>8</v>
      </c>
      <c r="D215" s="30" t="s">
        <v>252</v>
      </c>
      <c r="E215" s="31" t="s">
        <v>176</v>
      </c>
      <c r="F215" s="31" t="n">
        <v>0</v>
      </c>
      <c r="G215" s="32" t="n">
        <f aca="false">((290*2)+252)*1.05</f>
        <v>873.6</v>
      </c>
      <c r="H215" s="32" t="n">
        <f aca="false">F215*G215</f>
        <v>0</v>
      </c>
      <c r="I215" s="37" t="s">
        <v>108</v>
      </c>
      <c r="J215" s="33"/>
    </row>
    <row r="216" customFormat="false" ht="15" hidden="false" customHeight="false" outlineLevel="0" collapsed="false">
      <c r="A216" s="29" t="n">
        <v>215</v>
      </c>
      <c r="B216" s="38" t="s">
        <v>1</v>
      </c>
      <c r="C216" s="35" t="s">
        <v>8</v>
      </c>
      <c r="D216" s="30" t="s">
        <v>252</v>
      </c>
      <c r="E216" s="31" t="s">
        <v>176</v>
      </c>
      <c r="F216" s="31" t="n">
        <v>3</v>
      </c>
      <c r="G216" s="32" t="n">
        <f aca="false">((290*2)+252)*1.05</f>
        <v>873.6</v>
      </c>
      <c r="H216" s="32" t="n">
        <f aca="false">F216*G216</f>
        <v>2620.8</v>
      </c>
      <c r="I216" s="37" t="s">
        <v>108</v>
      </c>
      <c r="J216" s="33"/>
    </row>
    <row r="217" customFormat="false" ht="15" hidden="false" customHeight="false" outlineLevel="0" collapsed="false">
      <c r="A217" s="29" t="n">
        <v>216</v>
      </c>
      <c r="B217" s="36" t="s">
        <v>20</v>
      </c>
      <c r="C217" s="35" t="s">
        <v>8</v>
      </c>
      <c r="D217" s="30" t="s">
        <v>253</v>
      </c>
      <c r="E217" s="31" t="s">
        <v>176</v>
      </c>
      <c r="F217" s="31" t="n">
        <v>0</v>
      </c>
      <c r="G217" s="32" t="n">
        <f aca="false">((290*2.25)+252)*1.05</f>
        <v>949.725</v>
      </c>
      <c r="H217" s="32" t="n">
        <f aca="false">F217*G217</f>
        <v>0</v>
      </c>
      <c r="I217" s="37" t="s">
        <v>108</v>
      </c>
      <c r="J217" s="33"/>
    </row>
    <row r="218" customFormat="false" ht="15" hidden="false" customHeight="false" outlineLevel="0" collapsed="false">
      <c r="A218" s="29" t="n">
        <v>217</v>
      </c>
      <c r="B218" s="38" t="s">
        <v>1</v>
      </c>
      <c r="C218" s="35" t="s">
        <v>8</v>
      </c>
      <c r="D218" s="30" t="s">
        <v>253</v>
      </c>
      <c r="E218" s="31" t="s">
        <v>176</v>
      </c>
      <c r="F218" s="31" t="n">
        <v>3</v>
      </c>
      <c r="G218" s="32" t="n">
        <f aca="false">((290*2.25)+252)*1.05</f>
        <v>949.725</v>
      </c>
      <c r="H218" s="32" t="n">
        <f aca="false">F218*G218</f>
        <v>2849.175</v>
      </c>
      <c r="I218" s="37" t="s">
        <v>108</v>
      </c>
      <c r="J218" s="33"/>
    </row>
    <row r="219" customFormat="false" ht="15" hidden="false" customHeight="false" outlineLevel="0" collapsed="false">
      <c r="A219" s="29" t="n">
        <v>218</v>
      </c>
      <c r="B219" s="36" t="s">
        <v>20</v>
      </c>
      <c r="C219" s="35" t="s">
        <v>8</v>
      </c>
      <c r="D219" s="30" t="s">
        <v>254</v>
      </c>
      <c r="E219" s="31" t="s">
        <v>176</v>
      </c>
      <c r="F219" s="31" t="n">
        <v>3</v>
      </c>
      <c r="G219" s="32" t="n">
        <f aca="false">((290*2)+252)*1.05</f>
        <v>873.6</v>
      </c>
      <c r="H219" s="32" t="n">
        <f aca="false">F219*G219</f>
        <v>2620.8</v>
      </c>
      <c r="I219" s="37" t="s">
        <v>108</v>
      </c>
      <c r="J219" s="33"/>
    </row>
    <row r="220" customFormat="false" ht="15" hidden="false" customHeight="false" outlineLevel="0" collapsed="false">
      <c r="A220" s="29" t="n">
        <v>219</v>
      </c>
      <c r="B220" s="38" t="s">
        <v>20</v>
      </c>
      <c r="C220" s="35" t="s">
        <v>8</v>
      </c>
      <c r="D220" s="30" t="s">
        <v>255</v>
      </c>
      <c r="E220" s="31" t="s">
        <v>176</v>
      </c>
      <c r="F220" s="31" t="n">
        <v>5</v>
      </c>
      <c r="G220" s="32" t="n">
        <f aca="false">((290*2.25)+252)*1.05</f>
        <v>949.725</v>
      </c>
      <c r="H220" s="32" t="n">
        <f aca="false">F220*G220</f>
        <v>4748.625</v>
      </c>
      <c r="I220" s="37" t="s">
        <v>108</v>
      </c>
      <c r="J220" s="33"/>
    </row>
    <row r="221" customFormat="false" ht="15" hidden="false" customHeight="false" outlineLevel="0" collapsed="false">
      <c r="A221" s="29" t="n">
        <v>220</v>
      </c>
      <c r="B221" s="36" t="s">
        <v>20</v>
      </c>
      <c r="C221" s="35" t="s">
        <v>8</v>
      </c>
      <c r="D221" s="30" t="s">
        <v>256</v>
      </c>
      <c r="E221" s="31" t="s">
        <v>176</v>
      </c>
      <c r="F221" s="31" t="n">
        <v>0</v>
      </c>
      <c r="G221" s="32" t="n">
        <f aca="false">((290*2)+252)*1.05</f>
        <v>873.6</v>
      </c>
      <c r="H221" s="32" t="n">
        <f aca="false">F221*G221</f>
        <v>0</v>
      </c>
      <c r="I221" s="37" t="s">
        <v>108</v>
      </c>
      <c r="J221" s="33"/>
    </row>
    <row r="222" customFormat="false" ht="15" hidden="false" customHeight="false" outlineLevel="0" collapsed="false">
      <c r="A222" s="29" t="n">
        <v>221</v>
      </c>
      <c r="B222" s="38" t="s">
        <v>20</v>
      </c>
      <c r="C222" s="35" t="s">
        <v>8</v>
      </c>
      <c r="D222" s="30" t="s">
        <v>257</v>
      </c>
      <c r="E222" s="31" t="s">
        <v>176</v>
      </c>
      <c r="F222" s="31" t="n">
        <v>0</v>
      </c>
      <c r="G222" s="32" t="n">
        <f aca="false">((290*2.25)+252)*1.05</f>
        <v>949.725</v>
      </c>
      <c r="H222" s="32" t="n">
        <f aca="false">F222*G222</f>
        <v>0</v>
      </c>
      <c r="I222" s="37" t="s">
        <v>108</v>
      </c>
      <c r="J222" s="33"/>
    </row>
    <row r="223" customFormat="false" ht="15" hidden="false" customHeight="false" outlineLevel="0" collapsed="false">
      <c r="A223" s="29" t="n">
        <v>222</v>
      </c>
      <c r="B223" s="36" t="s">
        <v>20</v>
      </c>
      <c r="C223" s="35" t="s">
        <v>8</v>
      </c>
      <c r="D223" s="30" t="s">
        <v>258</v>
      </c>
      <c r="E223" s="31" t="s">
        <v>176</v>
      </c>
      <c r="F223" s="31" t="n">
        <v>1</v>
      </c>
      <c r="G223" s="32" t="n">
        <f aca="false">((290*2)+252)*1.05</f>
        <v>873.6</v>
      </c>
      <c r="H223" s="32" t="n">
        <f aca="false">F223*G223</f>
        <v>873.6</v>
      </c>
      <c r="I223" s="37" t="s">
        <v>108</v>
      </c>
      <c r="J223" s="33"/>
    </row>
    <row r="224" customFormat="false" ht="15" hidden="false" customHeight="false" outlineLevel="0" collapsed="false">
      <c r="A224" s="29" t="n">
        <v>223</v>
      </c>
      <c r="B224" s="38" t="s">
        <v>20</v>
      </c>
      <c r="C224" s="35" t="s">
        <v>8</v>
      </c>
      <c r="D224" s="30" t="s">
        <v>259</v>
      </c>
      <c r="E224" s="31" t="s">
        <v>176</v>
      </c>
      <c r="F224" s="31" t="n">
        <v>0</v>
      </c>
      <c r="G224" s="32" t="n">
        <f aca="false">((290*2.25)+252)*1.05</f>
        <v>949.725</v>
      </c>
      <c r="H224" s="32" t="n">
        <f aca="false">F224*G224</f>
        <v>0</v>
      </c>
      <c r="I224" s="37" t="s">
        <v>108</v>
      </c>
      <c r="J224" s="33"/>
    </row>
    <row r="225" customFormat="false" ht="15" hidden="false" customHeight="false" outlineLevel="0" collapsed="false">
      <c r="A225" s="29" t="n">
        <v>224</v>
      </c>
      <c r="B225" s="36" t="s">
        <v>20</v>
      </c>
      <c r="C225" s="35" t="s">
        <v>8</v>
      </c>
      <c r="D225" s="30" t="s">
        <v>260</v>
      </c>
      <c r="E225" s="31" t="s">
        <v>176</v>
      </c>
      <c r="F225" s="31" t="n">
        <v>7</v>
      </c>
      <c r="G225" s="32" t="n">
        <f aca="false">((290*2)+252)*1.05</f>
        <v>873.6</v>
      </c>
      <c r="H225" s="32" t="n">
        <f aca="false">F225*G225</f>
        <v>6115.2</v>
      </c>
      <c r="I225" s="37" t="s">
        <v>108</v>
      </c>
      <c r="J225" s="33"/>
    </row>
    <row r="226" customFormat="false" ht="15" hidden="false" customHeight="false" outlineLevel="0" collapsed="false">
      <c r="A226" s="29" t="n">
        <v>225</v>
      </c>
      <c r="B226" s="38" t="s">
        <v>20</v>
      </c>
      <c r="C226" s="35" t="s">
        <v>8</v>
      </c>
      <c r="D226" s="30" t="s">
        <v>261</v>
      </c>
      <c r="E226" s="31" t="s">
        <v>176</v>
      </c>
      <c r="F226" s="31" t="n">
        <v>4</v>
      </c>
      <c r="G226" s="32" t="n">
        <f aca="false">((290*2.25)+252)*1.05</f>
        <v>949.725</v>
      </c>
      <c r="H226" s="32" t="n">
        <f aca="false">F226*G226</f>
        <v>3798.9</v>
      </c>
      <c r="I226" s="37" t="s">
        <v>108</v>
      </c>
      <c r="J226" s="33"/>
    </row>
    <row r="227" customFormat="false" ht="15" hidden="false" customHeight="false" outlineLevel="0" collapsed="false">
      <c r="A227" s="29" t="n">
        <v>226</v>
      </c>
      <c r="B227" s="36" t="s">
        <v>20</v>
      </c>
      <c r="C227" s="35" t="s">
        <v>8</v>
      </c>
      <c r="D227" s="30" t="s">
        <v>262</v>
      </c>
      <c r="E227" s="31" t="s">
        <v>176</v>
      </c>
      <c r="F227" s="31" t="n">
        <v>0</v>
      </c>
      <c r="G227" s="32" t="n">
        <f aca="false">((290*2)+252)*1.05</f>
        <v>873.6</v>
      </c>
      <c r="H227" s="32" t="n">
        <f aca="false">F227*G227</f>
        <v>0</v>
      </c>
      <c r="I227" s="37" t="s">
        <v>108</v>
      </c>
      <c r="J227" s="33"/>
    </row>
    <row r="228" customFormat="false" ht="15" hidden="false" customHeight="false" outlineLevel="0" collapsed="false">
      <c r="A228" s="29" t="n">
        <v>227</v>
      </c>
      <c r="B228" s="38" t="s">
        <v>20</v>
      </c>
      <c r="C228" s="35" t="s">
        <v>8</v>
      </c>
      <c r="D228" s="30" t="s">
        <v>263</v>
      </c>
      <c r="E228" s="31" t="s">
        <v>176</v>
      </c>
      <c r="F228" s="31" t="n">
        <v>2</v>
      </c>
      <c r="G228" s="32" t="n">
        <f aca="false">((290*2.25)+252)*1.05</f>
        <v>949.725</v>
      </c>
      <c r="H228" s="32" t="n">
        <f aca="false">F228*G228</f>
        <v>1899.45</v>
      </c>
      <c r="I228" s="37" t="s">
        <v>108</v>
      </c>
      <c r="J228" s="33"/>
    </row>
    <row r="229" customFormat="false" ht="15" hidden="false" customHeight="false" outlineLevel="0" collapsed="false">
      <c r="A229" s="29" t="n">
        <v>228</v>
      </c>
      <c r="B229" s="36" t="s">
        <v>20</v>
      </c>
      <c r="C229" s="35" t="s">
        <v>8</v>
      </c>
      <c r="D229" s="30" t="s">
        <v>264</v>
      </c>
      <c r="E229" s="31" t="s">
        <v>176</v>
      </c>
      <c r="F229" s="31" t="n">
        <v>0</v>
      </c>
      <c r="G229" s="32" t="n">
        <f aca="false">((290*2)+252)*1.05</f>
        <v>873.6</v>
      </c>
      <c r="H229" s="32" t="n">
        <f aca="false">F229*G229</f>
        <v>0</v>
      </c>
      <c r="I229" s="37" t="s">
        <v>108</v>
      </c>
      <c r="J229" s="33"/>
    </row>
    <row r="230" customFormat="false" ht="15" hidden="false" customHeight="false" outlineLevel="0" collapsed="false">
      <c r="A230" s="29" t="n">
        <v>229</v>
      </c>
      <c r="B230" s="38" t="s">
        <v>20</v>
      </c>
      <c r="C230" s="35" t="s">
        <v>8</v>
      </c>
      <c r="D230" s="30" t="s">
        <v>265</v>
      </c>
      <c r="E230" s="31" t="s">
        <v>176</v>
      </c>
      <c r="F230" s="31" t="n">
        <v>1</v>
      </c>
      <c r="G230" s="32" t="n">
        <f aca="false">((290*2.25)+252)*1.05</f>
        <v>949.725</v>
      </c>
      <c r="H230" s="32" t="n">
        <f aca="false">F230*G230</f>
        <v>949.725</v>
      </c>
      <c r="I230" s="37" t="s">
        <v>108</v>
      </c>
      <c r="J230" s="33"/>
    </row>
    <row r="231" customFormat="false" ht="15" hidden="false" customHeight="false" outlineLevel="0" collapsed="false">
      <c r="A231" s="29" t="n">
        <v>230</v>
      </c>
      <c r="B231" s="36" t="s">
        <v>20</v>
      </c>
      <c r="C231" s="35" t="s">
        <v>8</v>
      </c>
      <c r="D231" s="30" t="s">
        <v>266</v>
      </c>
      <c r="E231" s="31" t="s">
        <v>176</v>
      </c>
      <c r="F231" s="31" t="n">
        <v>2</v>
      </c>
      <c r="G231" s="32" t="n">
        <f aca="false">((290*2)+252)*1.05</f>
        <v>873.6</v>
      </c>
      <c r="H231" s="32" t="n">
        <f aca="false">F231*G231</f>
        <v>1747.2</v>
      </c>
      <c r="I231" s="37" t="s">
        <v>108</v>
      </c>
      <c r="J231" s="33"/>
    </row>
    <row r="232" customFormat="false" ht="15" hidden="false" customHeight="false" outlineLevel="0" collapsed="false">
      <c r="A232" s="29" t="n">
        <v>231</v>
      </c>
      <c r="B232" s="38" t="s">
        <v>20</v>
      </c>
      <c r="C232" s="35" t="s">
        <v>8</v>
      </c>
      <c r="D232" s="30" t="s">
        <v>267</v>
      </c>
      <c r="E232" s="31" t="s">
        <v>176</v>
      </c>
      <c r="F232" s="31" t="n">
        <v>2</v>
      </c>
      <c r="G232" s="32" t="n">
        <f aca="false">((290*2.25)+252)*1.05</f>
        <v>949.725</v>
      </c>
      <c r="H232" s="32" t="n">
        <f aca="false">F232*G232</f>
        <v>1899.45</v>
      </c>
      <c r="I232" s="37" t="s">
        <v>108</v>
      </c>
      <c r="J232" s="33"/>
    </row>
    <row r="233" customFormat="false" ht="15" hidden="false" customHeight="false" outlineLevel="0" collapsed="false">
      <c r="A233" s="29" t="n">
        <v>232</v>
      </c>
      <c r="B233" s="36" t="s">
        <v>20</v>
      </c>
      <c r="C233" s="35" t="s">
        <v>8</v>
      </c>
      <c r="D233" s="30" t="s">
        <v>267</v>
      </c>
      <c r="E233" s="31" t="s">
        <v>176</v>
      </c>
      <c r="F233" s="31" t="n">
        <v>1</v>
      </c>
      <c r="G233" s="32" t="n">
        <f aca="false">((290*2.25)+252)*1.05</f>
        <v>949.725</v>
      </c>
      <c r="H233" s="32" t="n">
        <f aca="false">F233*G233</f>
        <v>949.725</v>
      </c>
      <c r="I233" s="37" t="s">
        <v>108</v>
      </c>
      <c r="J233" s="33"/>
    </row>
    <row r="234" customFormat="false" ht="15" hidden="false" customHeight="false" outlineLevel="0" collapsed="false">
      <c r="A234" s="29" t="n">
        <v>233</v>
      </c>
      <c r="B234" s="38" t="s">
        <v>20</v>
      </c>
      <c r="C234" s="35" t="s">
        <v>8</v>
      </c>
      <c r="D234" s="30" t="s">
        <v>268</v>
      </c>
      <c r="E234" s="31" t="s">
        <v>176</v>
      </c>
      <c r="F234" s="31" t="n">
        <v>1</v>
      </c>
      <c r="G234" s="32" t="n">
        <f aca="false">((290*2)+252)*1.05</f>
        <v>873.6</v>
      </c>
      <c r="H234" s="32" t="n">
        <f aca="false">F234*G234</f>
        <v>873.6</v>
      </c>
      <c r="I234" s="37" t="s">
        <v>108</v>
      </c>
      <c r="J234" s="33"/>
    </row>
    <row r="235" customFormat="false" ht="15" hidden="false" customHeight="false" outlineLevel="0" collapsed="false">
      <c r="A235" s="29" t="n">
        <v>234</v>
      </c>
      <c r="B235" s="36" t="s">
        <v>1</v>
      </c>
      <c r="C235" s="35" t="s">
        <v>8</v>
      </c>
      <c r="D235" s="30" t="s">
        <v>268</v>
      </c>
      <c r="E235" s="31" t="s">
        <v>176</v>
      </c>
      <c r="F235" s="31" t="n">
        <v>3</v>
      </c>
      <c r="G235" s="32" t="n">
        <f aca="false">((290*2)+252)*1.05</f>
        <v>873.6</v>
      </c>
      <c r="H235" s="32" t="n">
        <f aca="false">F235*G235</f>
        <v>2620.8</v>
      </c>
      <c r="I235" s="37" t="s">
        <v>108</v>
      </c>
      <c r="J235" s="33"/>
    </row>
    <row r="236" customFormat="false" ht="15" hidden="false" customHeight="false" outlineLevel="0" collapsed="false">
      <c r="A236" s="29" t="n">
        <v>235</v>
      </c>
      <c r="B236" s="38" t="s">
        <v>20</v>
      </c>
      <c r="C236" s="35" t="s">
        <v>8</v>
      </c>
      <c r="D236" s="30" t="s">
        <v>269</v>
      </c>
      <c r="E236" s="31" t="s">
        <v>176</v>
      </c>
      <c r="F236" s="31" t="n">
        <v>2</v>
      </c>
      <c r="G236" s="32" t="n">
        <f aca="false">((290*2.25)+252)*1.05</f>
        <v>949.725</v>
      </c>
      <c r="H236" s="32" t="n">
        <f aca="false">F236*G236</f>
        <v>1899.45</v>
      </c>
      <c r="I236" s="37" t="s">
        <v>108</v>
      </c>
      <c r="J236" s="33"/>
    </row>
    <row r="237" customFormat="false" ht="15" hidden="false" customHeight="false" outlineLevel="0" collapsed="false">
      <c r="A237" s="29" t="n">
        <v>236</v>
      </c>
      <c r="B237" s="36" t="s">
        <v>20</v>
      </c>
      <c r="C237" s="35" t="s">
        <v>8</v>
      </c>
      <c r="D237" s="30" t="s">
        <v>270</v>
      </c>
      <c r="E237" s="31" t="s">
        <v>176</v>
      </c>
      <c r="F237" s="31" t="n">
        <v>1</v>
      </c>
      <c r="G237" s="32" t="n">
        <f aca="false">((290*2)+252)*1.05</f>
        <v>873.6</v>
      </c>
      <c r="H237" s="32" t="n">
        <f aca="false">F237*G237</f>
        <v>873.6</v>
      </c>
      <c r="I237" s="37" t="s">
        <v>108</v>
      </c>
      <c r="J237" s="33"/>
    </row>
    <row r="238" customFormat="false" ht="15" hidden="false" customHeight="false" outlineLevel="0" collapsed="false">
      <c r="A238" s="29" t="n">
        <v>237</v>
      </c>
      <c r="B238" s="38" t="s">
        <v>20</v>
      </c>
      <c r="C238" s="35" t="s">
        <v>8</v>
      </c>
      <c r="D238" s="30" t="s">
        <v>271</v>
      </c>
      <c r="E238" s="31" t="s">
        <v>176</v>
      </c>
      <c r="F238" s="31" t="n">
        <v>1</v>
      </c>
      <c r="G238" s="32" t="n">
        <f aca="false">((290*2.25)+252)*1.05</f>
        <v>949.725</v>
      </c>
      <c r="H238" s="32" t="n">
        <f aca="false">F238*G238</f>
        <v>949.725</v>
      </c>
      <c r="I238" s="37" t="s">
        <v>108</v>
      </c>
      <c r="J238" s="33"/>
    </row>
    <row r="239" customFormat="false" ht="15" hidden="false" customHeight="false" outlineLevel="0" collapsed="false">
      <c r="A239" s="29" t="n">
        <v>238</v>
      </c>
      <c r="B239" s="36" t="s">
        <v>20</v>
      </c>
      <c r="C239" s="35" t="s">
        <v>8</v>
      </c>
      <c r="D239" s="30" t="s">
        <v>271</v>
      </c>
      <c r="E239" s="31" t="s">
        <v>176</v>
      </c>
      <c r="F239" s="31" t="n">
        <v>1</v>
      </c>
      <c r="G239" s="32" t="n">
        <f aca="false">((290*2.25)+252)*1.05</f>
        <v>949.725</v>
      </c>
      <c r="H239" s="32" t="n">
        <f aca="false">F239*G239</f>
        <v>949.725</v>
      </c>
      <c r="I239" s="37" t="s">
        <v>108</v>
      </c>
      <c r="J239" s="33"/>
    </row>
    <row r="240" customFormat="false" ht="15" hidden="false" customHeight="false" outlineLevel="0" collapsed="false">
      <c r="A240" s="29" t="n">
        <v>239</v>
      </c>
      <c r="B240" s="38" t="s">
        <v>20</v>
      </c>
      <c r="C240" s="35" t="s">
        <v>8</v>
      </c>
      <c r="D240" s="30" t="s">
        <v>272</v>
      </c>
      <c r="E240" s="31" t="s">
        <v>176</v>
      </c>
      <c r="F240" s="31" t="n">
        <v>3</v>
      </c>
      <c r="G240" s="32" t="n">
        <f aca="false">((297*2)+252)*1.05</f>
        <v>888.3</v>
      </c>
      <c r="H240" s="32" t="n">
        <f aca="false">F240*G240</f>
        <v>2664.9</v>
      </c>
      <c r="I240" s="37" t="s">
        <v>43</v>
      </c>
      <c r="J240" s="33"/>
    </row>
    <row r="241" customFormat="false" ht="15" hidden="false" customHeight="false" outlineLevel="0" collapsed="false">
      <c r="A241" s="29" t="n">
        <v>240</v>
      </c>
      <c r="B241" s="36" t="s">
        <v>20</v>
      </c>
      <c r="C241" s="35" t="s">
        <v>8</v>
      </c>
      <c r="D241" s="30" t="s">
        <v>273</v>
      </c>
      <c r="E241" s="31" t="s">
        <v>176</v>
      </c>
      <c r="F241" s="31" t="n">
        <v>3</v>
      </c>
      <c r="G241" s="32" t="n">
        <f aca="false">((297*2.25)+252)*1.05</f>
        <v>966.2625</v>
      </c>
      <c r="H241" s="32" t="n">
        <f aca="false">F241*G241</f>
        <v>2898.7875</v>
      </c>
      <c r="I241" s="39" t="s">
        <v>43</v>
      </c>
      <c r="J241" s="33"/>
    </row>
    <row r="242" customFormat="false" ht="15" hidden="false" customHeight="false" outlineLevel="0" collapsed="false">
      <c r="A242" s="29" t="n">
        <v>241</v>
      </c>
      <c r="B242" s="38" t="s">
        <v>20</v>
      </c>
      <c r="C242" s="35" t="s">
        <v>8</v>
      </c>
      <c r="D242" s="30" t="s">
        <v>274</v>
      </c>
      <c r="E242" s="31" t="s">
        <v>176</v>
      </c>
      <c r="F242" s="31" t="n">
        <v>2</v>
      </c>
      <c r="G242" s="32" t="n">
        <f aca="false">((297*2)+252)*1.05</f>
        <v>888.3</v>
      </c>
      <c r="H242" s="32" t="n">
        <f aca="false">F242*G242</f>
        <v>1776.6</v>
      </c>
      <c r="I242" s="39" t="s">
        <v>43</v>
      </c>
      <c r="J242" s="33"/>
    </row>
    <row r="243" customFormat="false" ht="15" hidden="false" customHeight="false" outlineLevel="0" collapsed="false">
      <c r="A243" s="29" t="n">
        <v>242</v>
      </c>
      <c r="B243" s="36" t="s">
        <v>20</v>
      </c>
      <c r="C243" s="35" t="s">
        <v>8</v>
      </c>
      <c r="D243" s="30" t="s">
        <v>275</v>
      </c>
      <c r="E243" s="31" t="s">
        <v>176</v>
      </c>
      <c r="F243" s="31" t="n">
        <v>1</v>
      </c>
      <c r="G243" s="32" t="n">
        <f aca="false">((297*2.25)+252)*1.05</f>
        <v>966.2625</v>
      </c>
      <c r="H243" s="32" t="n">
        <f aca="false">F243*G243</f>
        <v>966.2625</v>
      </c>
      <c r="I243" s="39" t="s">
        <v>43</v>
      </c>
      <c r="J243" s="33"/>
    </row>
    <row r="244" customFormat="false" ht="15" hidden="false" customHeight="false" outlineLevel="0" collapsed="false">
      <c r="A244" s="29" t="n">
        <v>243</v>
      </c>
      <c r="B244" s="38" t="s">
        <v>20</v>
      </c>
      <c r="C244" s="35" t="s">
        <v>8</v>
      </c>
      <c r="D244" s="30" t="s">
        <v>276</v>
      </c>
      <c r="E244" s="31" t="s">
        <v>176</v>
      </c>
      <c r="F244" s="31" t="n">
        <v>1</v>
      </c>
      <c r="G244" s="32" t="n">
        <f aca="false">((297*2)+252)*1.05</f>
        <v>888.3</v>
      </c>
      <c r="H244" s="32" t="n">
        <f aca="false">F244*G244</f>
        <v>888.3</v>
      </c>
      <c r="I244" s="39" t="s">
        <v>43</v>
      </c>
      <c r="J244" s="33"/>
    </row>
    <row r="245" customFormat="false" ht="15" hidden="false" customHeight="false" outlineLevel="0" collapsed="false">
      <c r="A245" s="29" t="n">
        <v>244</v>
      </c>
      <c r="B245" s="36" t="s">
        <v>20</v>
      </c>
      <c r="C245" s="35" t="s">
        <v>8</v>
      </c>
      <c r="D245" s="30" t="s">
        <v>277</v>
      </c>
      <c r="E245" s="31" t="s">
        <v>176</v>
      </c>
      <c r="F245" s="31" t="n">
        <v>4</v>
      </c>
      <c r="G245" s="32" t="n">
        <f aca="false">((297*2.25)+252)*1.05</f>
        <v>966.2625</v>
      </c>
      <c r="H245" s="32" t="n">
        <f aca="false">F245*G245</f>
        <v>3865.05</v>
      </c>
      <c r="I245" s="39" t="s">
        <v>43</v>
      </c>
      <c r="J245" s="33"/>
    </row>
    <row r="246" customFormat="false" ht="15" hidden="false" customHeight="false" outlineLevel="0" collapsed="false">
      <c r="A246" s="29" t="n">
        <v>245</v>
      </c>
      <c r="B246" s="38" t="s">
        <v>20</v>
      </c>
      <c r="C246" s="35" t="s">
        <v>8</v>
      </c>
      <c r="D246" s="30" t="s">
        <v>278</v>
      </c>
      <c r="E246" s="31" t="s">
        <v>176</v>
      </c>
      <c r="F246" s="31" t="n">
        <v>2</v>
      </c>
      <c r="G246" s="32" t="n">
        <f aca="false">((297*2)+252)*1.05</f>
        <v>888.3</v>
      </c>
      <c r="H246" s="32" t="n">
        <f aca="false">F246*G246</f>
        <v>1776.6</v>
      </c>
      <c r="I246" s="39" t="s">
        <v>43</v>
      </c>
      <c r="J246" s="33"/>
    </row>
    <row r="247" customFormat="false" ht="15" hidden="false" customHeight="false" outlineLevel="0" collapsed="false">
      <c r="A247" s="29" t="n">
        <v>246</v>
      </c>
      <c r="B247" s="36" t="s">
        <v>20</v>
      </c>
      <c r="C247" s="35" t="s">
        <v>8</v>
      </c>
      <c r="D247" s="30" t="s">
        <v>279</v>
      </c>
      <c r="E247" s="31" t="s">
        <v>176</v>
      </c>
      <c r="F247" s="31" t="n">
        <v>3</v>
      </c>
      <c r="G247" s="32" t="n">
        <f aca="false">((297*2.25)+252)*1.05</f>
        <v>966.2625</v>
      </c>
      <c r="H247" s="32" t="n">
        <f aca="false">F247*G247</f>
        <v>2898.7875</v>
      </c>
      <c r="I247" s="39" t="s">
        <v>43</v>
      </c>
      <c r="J247" s="33"/>
    </row>
    <row r="248" customFormat="false" ht="15" hidden="false" customHeight="false" outlineLevel="0" collapsed="false">
      <c r="A248" s="29" t="n">
        <v>247</v>
      </c>
      <c r="B248" s="38" t="s">
        <v>20</v>
      </c>
      <c r="C248" s="35" t="s">
        <v>8</v>
      </c>
      <c r="D248" s="30" t="s">
        <v>280</v>
      </c>
      <c r="E248" s="31" t="s">
        <v>176</v>
      </c>
      <c r="F248" s="31" t="n">
        <v>3</v>
      </c>
      <c r="G248" s="32" t="n">
        <f aca="false">((297*2)+252)*1.05</f>
        <v>888.3</v>
      </c>
      <c r="H248" s="32" t="n">
        <f aca="false">F248*G248</f>
        <v>2664.9</v>
      </c>
      <c r="I248" s="39" t="s">
        <v>43</v>
      </c>
      <c r="J248" s="33"/>
    </row>
    <row r="249" customFormat="false" ht="15" hidden="false" customHeight="false" outlineLevel="0" collapsed="false">
      <c r="A249" s="29" t="n">
        <v>248</v>
      </c>
      <c r="B249" s="36" t="s">
        <v>20</v>
      </c>
      <c r="C249" s="35" t="s">
        <v>8</v>
      </c>
      <c r="D249" s="30" t="s">
        <v>281</v>
      </c>
      <c r="E249" s="31" t="s">
        <v>176</v>
      </c>
      <c r="F249" s="31" t="n">
        <v>4</v>
      </c>
      <c r="G249" s="32" t="n">
        <f aca="false">((297*2.25)+252)*1.05</f>
        <v>966.2625</v>
      </c>
      <c r="H249" s="32" t="n">
        <f aca="false">F249*G249</f>
        <v>3865.05</v>
      </c>
      <c r="I249" s="39" t="s">
        <v>43</v>
      </c>
      <c r="J249" s="33"/>
    </row>
    <row r="250" customFormat="false" ht="15" hidden="false" customHeight="false" outlineLevel="0" collapsed="false">
      <c r="A250" s="29" t="n">
        <v>249</v>
      </c>
      <c r="B250" s="38" t="s">
        <v>20</v>
      </c>
      <c r="C250" s="35" t="s">
        <v>8</v>
      </c>
      <c r="D250" s="30" t="s">
        <v>282</v>
      </c>
      <c r="E250" s="31" t="s">
        <v>176</v>
      </c>
      <c r="F250" s="31" t="n">
        <v>0</v>
      </c>
      <c r="G250" s="32" t="n">
        <f aca="false">((297*2)+252)*1.05</f>
        <v>888.3</v>
      </c>
      <c r="H250" s="32" t="n">
        <f aca="false">F250*G250</f>
        <v>0</v>
      </c>
      <c r="I250" s="39" t="s">
        <v>43</v>
      </c>
      <c r="J250" s="33"/>
    </row>
    <row r="251" customFormat="false" ht="15" hidden="false" customHeight="false" outlineLevel="0" collapsed="false">
      <c r="A251" s="29" t="n">
        <v>250</v>
      </c>
      <c r="B251" s="36" t="s">
        <v>20</v>
      </c>
      <c r="C251" s="35" t="s">
        <v>8</v>
      </c>
      <c r="D251" s="30" t="s">
        <v>283</v>
      </c>
      <c r="E251" s="31" t="s">
        <v>176</v>
      </c>
      <c r="F251" s="31" t="n">
        <v>3</v>
      </c>
      <c r="G251" s="32" t="n">
        <f aca="false">((297*2.25)+252)*1.05</f>
        <v>966.2625</v>
      </c>
      <c r="H251" s="32" t="n">
        <f aca="false">F251*G251</f>
        <v>2898.7875</v>
      </c>
      <c r="I251" s="39" t="s">
        <v>43</v>
      </c>
      <c r="J251" s="33"/>
    </row>
    <row r="252" customFormat="false" ht="15" hidden="false" customHeight="false" outlineLevel="0" collapsed="false">
      <c r="A252" s="29" t="n">
        <v>251</v>
      </c>
      <c r="B252" s="38" t="s">
        <v>20</v>
      </c>
      <c r="C252" s="35" t="s">
        <v>8</v>
      </c>
      <c r="D252" s="30" t="s">
        <v>284</v>
      </c>
      <c r="E252" s="31" t="s">
        <v>176</v>
      </c>
      <c r="F252" s="31" t="n">
        <v>0</v>
      </c>
      <c r="G252" s="32" t="n">
        <f aca="false">((297*2)+252)*1.05</f>
        <v>888.3</v>
      </c>
      <c r="H252" s="32" t="n">
        <f aca="false">F252*G252</f>
        <v>0</v>
      </c>
      <c r="I252" s="39" t="s">
        <v>43</v>
      </c>
      <c r="J252" s="33"/>
    </row>
    <row r="253" customFormat="false" ht="15" hidden="false" customHeight="false" outlineLevel="0" collapsed="false">
      <c r="A253" s="29" t="n">
        <v>252</v>
      </c>
      <c r="B253" s="36" t="s">
        <v>20</v>
      </c>
      <c r="C253" s="35" t="s">
        <v>8</v>
      </c>
      <c r="D253" s="30" t="s">
        <v>285</v>
      </c>
      <c r="E253" s="31" t="s">
        <v>176</v>
      </c>
      <c r="F253" s="31" t="n">
        <v>1</v>
      </c>
      <c r="G253" s="32" t="n">
        <f aca="false">((297*2.25)+252)*1.05</f>
        <v>966.2625</v>
      </c>
      <c r="H253" s="32" t="n">
        <f aca="false">F253*G253</f>
        <v>966.2625</v>
      </c>
      <c r="I253" s="39" t="s">
        <v>43</v>
      </c>
      <c r="J253" s="33"/>
    </row>
    <row r="254" customFormat="false" ht="15" hidden="false" customHeight="false" outlineLevel="0" collapsed="false">
      <c r="A254" s="29" t="n">
        <v>253</v>
      </c>
      <c r="B254" s="38" t="s">
        <v>20</v>
      </c>
      <c r="C254" s="35" t="s">
        <v>8</v>
      </c>
      <c r="D254" s="30" t="s">
        <v>286</v>
      </c>
      <c r="E254" s="31" t="s">
        <v>176</v>
      </c>
      <c r="F254" s="31" t="n">
        <v>4</v>
      </c>
      <c r="G254" s="32" t="n">
        <f aca="false">((297*2)+252)*1.05</f>
        <v>888.3</v>
      </c>
      <c r="H254" s="32" t="n">
        <f aca="false">F254*G254</f>
        <v>3553.2</v>
      </c>
      <c r="I254" s="39" t="s">
        <v>43</v>
      </c>
      <c r="J254" s="33"/>
    </row>
    <row r="255" customFormat="false" ht="15" hidden="false" customHeight="false" outlineLevel="0" collapsed="false">
      <c r="A255" s="29" t="n">
        <v>254</v>
      </c>
      <c r="B255" s="36" t="s">
        <v>20</v>
      </c>
      <c r="C255" s="35" t="s">
        <v>8</v>
      </c>
      <c r="D255" s="30" t="s">
        <v>287</v>
      </c>
      <c r="E255" s="31" t="s">
        <v>176</v>
      </c>
      <c r="F255" s="31" t="n">
        <v>3</v>
      </c>
      <c r="G255" s="32" t="n">
        <f aca="false">((297*2.25)+252)*1.05</f>
        <v>966.2625</v>
      </c>
      <c r="H255" s="32" t="n">
        <f aca="false">F255*G255</f>
        <v>2898.7875</v>
      </c>
      <c r="I255" s="39" t="s">
        <v>43</v>
      </c>
      <c r="J255" s="33"/>
    </row>
    <row r="256" customFormat="false" ht="15" hidden="false" customHeight="false" outlineLevel="0" collapsed="false">
      <c r="A256" s="29" t="n">
        <v>255</v>
      </c>
      <c r="B256" s="38" t="s">
        <v>20</v>
      </c>
      <c r="C256" s="35" t="s">
        <v>8</v>
      </c>
      <c r="D256" s="30" t="s">
        <v>288</v>
      </c>
      <c r="E256" s="31" t="s">
        <v>176</v>
      </c>
      <c r="F256" s="31" t="n">
        <v>1</v>
      </c>
      <c r="G256" s="32" t="n">
        <f aca="false">((297*2)+252)*1.05</f>
        <v>888.3</v>
      </c>
      <c r="H256" s="32" t="n">
        <f aca="false">F256*G256</f>
        <v>888.3</v>
      </c>
      <c r="I256" s="39" t="s">
        <v>43</v>
      </c>
      <c r="J256" s="33"/>
    </row>
    <row r="257" customFormat="false" ht="15" hidden="false" customHeight="false" outlineLevel="0" collapsed="false">
      <c r="A257" s="29" t="n">
        <v>256</v>
      </c>
      <c r="B257" s="36" t="s">
        <v>20</v>
      </c>
      <c r="C257" s="35" t="s">
        <v>8</v>
      </c>
      <c r="D257" s="30" t="s">
        <v>289</v>
      </c>
      <c r="E257" s="31" t="s">
        <v>176</v>
      </c>
      <c r="F257" s="31" t="n">
        <v>0</v>
      </c>
      <c r="G257" s="32" t="n">
        <f aca="false">((297*2.25)+252)*1.05</f>
        <v>966.2625</v>
      </c>
      <c r="H257" s="32" t="n">
        <f aca="false">F257*G257</f>
        <v>0</v>
      </c>
      <c r="I257" s="39" t="s">
        <v>43</v>
      </c>
      <c r="J257" s="33"/>
    </row>
    <row r="258" customFormat="false" ht="15" hidden="false" customHeight="false" outlineLevel="0" collapsed="false">
      <c r="A258" s="29" t="n">
        <v>257</v>
      </c>
      <c r="B258" s="38" t="s">
        <v>20</v>
      </c>
      <c r="C258" s="35" t="s">
        <v>8</v>
      </c>
      <c r="D258" s="30" t="s">
        <v>290</v>
      </c>
      <c r="E258" s="31" t="s">
        <v>176</v>
      </c>
      <c r="F258" s="31" t="n">
        <v>2</v>
      </c>
      <c r="G258" s="32" t="n">
        <f aca="false">((297*2)+252)*1.05</f>
        <v>888.3</v>
      </c>
      <c r="H258" s="32" t="n">
        <f aca="false">F258*G258</f>
        <v>1776.6</v>
      </c>
      <c r="I258" s="39" t="s">
        <v>43</v>
      </c>
      <c r="J258" s="33"/>
    </row>
    <row r="259" customFormat="false" ht="15" hidden="false" customHeight="false" outlineLevel="0" collapsed="false">
      <c r="A259" s="29" t="n">
        <v>258</v>
      </c>
      <c r="B259" s="36" t="s">
        <v>20</v>
      </c>
      <c r="C259" s="35" t="s">
        <v>8</v>
      </c>
      <c r="D259" s="30" t="s">
        <v>291</v>
      </c>
      <c r="E259" s="31" t="s">
        <v>176</v>
      </c>
      <c r="F259" s="31" t="n">
        <v>0</v>
      </c>
      <c r="G259" s="32" t="n">
        <f aca="false">((297*2.25)+252)*1.05</f>
        <v>966.2625</v>
      </c>
      <c r="H259" s="32" t="n">
        <f aca="false">F259*G259</f>
        <v>0</v>
      </c>
      <c r="I259" s="39" t="s">
        <v>43</v>
      </c>
      <c r="J259" s="33"/>
    </row>
    <row r="260" customFormat="false" ht="15" hidden="false" customHeight="false" outlineLevel="0" collapsed="false">
      <c r="A260" s="29" t="n">
        <v>259</v>
      </c>
      <c r="B260" s="38" t="s">
        <v>20</v>
      </c>
      <c r="C260" s="35" t="s">
        <v>8</v>
      </c>
      <c r="D260" s="30" t="s">
        <v>292</v>
      </c>
      <c r="E260" s="31" t="s">
        <v>176</v>
      </c>
      <c r="F260" s="31" t="n">
        <v>3</v>
      </c>
      <c r="G260" s="32" t="n">
        <f aca="false">((297*2)+252)*1.05</f>
        <v>888.3</v>
      </c>
      <c r="H260" s="32" t="n">
        <f aca="false">F260*G260</f>
        <v>2664.9</v>
      </c>
      <c r="I260" s="39" t="s">
        <v>43</v>
      </c>
      <c r="J260" s="33"/>
    </row>
    <row r="261" customFormat="false" ht="15" hidden="false" customHeight="false" outlineLevel="0" collapsed="false">
      <c r="A261" s="29" t="n">
        <v>260</v>
      </c>
      <c r="B261" s="36" t="s">
        <v>20</v>
      </c>
      <c r="C261" s="35" t="s">
        <v>8</v>
      </c>
      <c r="D261" s="30" t="s">
        <v>293</v>
      </c>
      <c r="E261" s="31" t="s">
        <v>176</v>
      </c>
      <c r="F261" s="31" t="n">
        <v>1</v>
      </c>
      <c r="G261" s="32" t="n">
        <f aca="false">((297*2.25)+252)*1.05</f>
        <v>966.2625</v>
      </c>
      <c r="H261" s="32" t="n">
        <f aca="false">F261*G261</f>
        <v>966.2625</v>
      </c>
      <c r="I261" s="39" t="s">
        <v>43</v>
      </c>
      <c r="J261" s="33"/>
    </row>
    <row r="262" customFormat="false" ht="15" hidden="false" customHeight="false" outlineLevel="0" collapsed="false">
      <c r="A262" s="29" t="n">
        <v>261</v>
      </c>
      <c r="B262" s="38" t="s">
        <v>20</v>
      </c>
      <c r="C262" s="35" t="s">
        <v>8</v>
      </c>
      <c r="D262" s="30" t="s">
        <v>294</v>
      </c>
      <c r="E262" s="31" t="s">
        <v>176</v>
      </c>
      <c r="F262" s="31" t="n">
        <v>2</v>
      </c>
      <c r="G262" s="32" t="n">
        <f aca="false">((297*2)+252)*1.05</f>
        <v>888.3</v>
      </c>
      <c r="H262" s="32" t="n">
        <f aca="false">F262*G262</f>
        <v>1776.6</v>
      </c>
      <c r="I262" s="39" t="s">
        <v>43</v>
      </c>
      <c r="J262" s="33"/>
    </row>
    <row r="263" customFormat="false" ht="15" hidden="false" customHeight="false" outlineLevel="0" collapsed="false">
      <c r="A263" s="29" t="n">
        <v>262</v>
      </c>
      <c r="B263" s="36" t="s">
        <v>20</v>
      </c>
      <c r="C263" s="35" t="s">
        <v>8</v>
      </c>
      <c r="D263" s="30" t="s">
        <v>295</v>
      </c>
      <c r="E263" s="31" t="s">
        <v>176</v>
      </c>
      <c r="F263" s="31" t="n">
        <v>2</v>
      </c>
      <c r="G263" s="32" t="n">
        <f aca="false">((297*2.25)+252)*1.05</f>
        <v>966.2625</v>
      </c>
      <c r="H263" s="32" t="n">
        <f aca="false">F263*G263</f>
        <v>1932.525</v>
      </c>
      <c r="I263" s="39" t="s">
        <v>43</v>
      </c>
      <c r="J263" s="33"/>
    </row>
    <row r="264" customFormat="false" ht="15" hidden="false" customHeight="false" outlineLevel="0" collapsed="false">
      <c r="A264" s="29" t="n">
        <v>263</v>
      </c>
      <c r="B264" s="38" t="s">
        <v>20</v>
      </c>
      <c r="C264" s="35" t="s">
        <v>8</v>
      </c>
      <c r="D264" s="30" t="s">
        <v>296</v>
      </c>
      <c r="E264" s="31" t="s">
        <v>176</v>
      </c>
      <c r="F264" s="31" t="n">
        <v>1</v>
      </c>
      <c r="G264" s="32" t="n">
        <f aca="false">((297*2)+252)*1.05</f>
        <v>888.3</v>
      </c>
      <c r="H264" s="32" t="n">
        <f aca="false">F264*G264</f>
        <v>888.3</v>
      </c>
      <c r="I264" s="39" t="s">
        <v>43</v>
      </c>
      <c r="J264" s="33"/>
    </row>
    <row r="265" customFormat="false" ht="15" hidden="false" customHeight="false" outlineLevel="0" collapsed="false">
      <c r="A265" s="29" t="n">
        <v>264</v>
      </c>
      <c r="B265" s="36" t="s">
        <v>20</v>
      </c>
      <c r="C265" s="35" t="s">
        <v>8</v>
      </c>
      <c r="D265" s="30" t="s">
        <v>297</v>
      </c>
      <c r="E265" s="31" t="s">
        <v>176</v>
      </c>
      <c r="F265" s="31" t="n">
        <v>1</v>
      </c>
      <c r="G265" s="32" t="n">
        <f aca="false">((297*2.25)+252)*1.05</f>
        <v>966.2625</v>
      </c>
      <c r="H265" s="32" t="n">
        <f aca="false">F265*G265</f>
        <v>966.2625</v>
      </c>
      <c r="I265" s="39" t="s">
        <v>43</v>
      </c>
      <c r="J265" s="33"/>
    </row>
    <row r="266" customFormat="false" ht="15" hidden="false" customHeight="false" outlineLevel="0" collapsed="false">
      <c r="A266" s="29" t="n">
        <v>265</v>
      </c>
      <c r="B266" s="38" t="s">
        <v>20</v>
      </c>
      <c r="C266" s="35" t="s">
        <v>8</v>
      </c>
      <c r="D266" s="30" t="s">
        <v>298</v>
      </c>
      <c r="E266" s="31" t="s">
        <v>176</v>
      </c>
      <c r="F266" s="31" t="n">
        <v>2</v>
      </c>
      <c r="G266" s="32" t="n">
        <f aca="false">((297*2)+252)*1.05</f>
        <v>888.3</v>
      </c>
      <c r="H266" s="32" t="n">
        <f aca="false">F266*G266</f>
        <v>1776.6</v>
      </c>
      <c r="I266" s="39" t="s">
        <v>43</v>
      </c>
      <c r="J266" s="33"/>
    </row>
    <row r="267" customFormat="false" ht="15" hidden="false" customHeight="false" outlineLevel="0" collapsed="false">
      <c r="A267" s="29" t="n">
        <v>266</v>
      </c>
      <c r="B267" s="36" t="s">
        <v>20</v>
      </c>
      <c r="C267" s="35" t="s">
        <v>8</v>
      </c>
      <c r="D267" s="30" t="s">
        <v>299</v>
      </c>
      <c r="E267" s="31" t="s">
        <v>176</v>
      </c>
      <c r="F267" s="31" t="n">
        <v>2</v>
      </c>
      <c r="G267" s="32" t="n">
        <f aca="false">((297*2.25)+252)*1.05</f>
        <v>966.2625</v>
      </c>
      <c r="H267" s="32" t="n">
        <f aca="false">F267*G267</f>
        <v>1932.525</v>
      </c>
      <c r="I267" s="39" t="s">
        <v>43</v>
      </c>
      <c r="J267" s="33"/>
    </row>
    <row r="268" customFormat="false" ht="15" hidden="false" customHeight="false" outlineLevel="0" collapsed="false">
      <c r="A268" s="29" t="n">
        <v>267</v>
      </c>
      <c r="B268" s="38" t="s">
        <v>1</v>
      </c>
      <c r="C268" s="35" t="s">
        <v>8</v>
      </c>
      <c r="D268" s="30" t="s">
        <v>299</v>
      </c>
      <c r="E268" s="31" t="s">
        <v>176</v>
      </c>
      <c r="F268" s="31" t="n">
        <v>3</v>
      </c>
      <c r="G268" s="32" t="n">
        <f aca="false">((297*2.25)+252)*1.05</f>
        <v>966.2625</v>
      </c>
      <c r="H268" s="32" t="n">
        <f aca="false">F268*G268</f>
        <v>2898.7875</v>
      </c>
      <c r="I268" s="39" t="s">
        <v>43</v>
      </c>
      <c r="J268" s="33"/>
    </row>
    <row r="269" customFormat="false" ht="15" hidden="false" customHeight="false" outlineLevel="0" collapsed="false">
      <c r="A269" s="29" t="n">
        <v>268</v>
      </c>
      <c r="B269" s="36" t="s">
        <v>20</v>
      </c>
      <c r="C269" s="35" t="s">
        <v>8</v>
      </c>
      <c r="D269" s="30" t="s">
        <v>300</v>
      </c>
      <c r="E269" s="31" t="s">
        <v>176</v>
      </c>
      <c r="F269" s="31" t="n">
        <v>0</v>
      </c>
      <c r="G269" s="32" t="n">
        <f aca="false">((297*2)+252)*1.05</f>
        <v>888.3</v>
      </c>
      <c r="H269" s="32" t="n">
        <f aca="false">F269*G269</f>
        <v>0</v>
      </c>
      <c r="I269" s="39" t="s">
        <v>43</v>
      </c>
      <c r="J269" s="33"/>
    </row>
    <row r="270" customFormat="false" ht="15" hidden="false" customHeight="false" outlineLevel="0" collapsed="false">
      <c r="A270" s="29" t="n">
        <v>269</v>
      </c>
      <c r="B270" s="38" t="s">
        <v>20</v>
      </c>
      <c r="C270" s="35" t="s">
        <v>8</v>
      </c>
      <c r="D270" s="30" t="s">
        <v>301</v>
      </c>
      <c r="E270" s="31" t="s">
        <v>176</v>
      </c>
      <c r="F270" s="31" t="n">
        <v>1</v>
      </c>
      <c r="G270" s="32" t="n">
        <f aca="false">((297*2.25)+252)*1.05</f>
        <v>966.2625</v>
      </c>
      <c r="H270" s="32" t="n">
        <f aca="false">F270*G270</f>
        <v>966.2625</v>
      </c>
      <c r="I270" s="39" t="s">
        <v>43</v>
      </c>
      <c r="J270" s="33"/>
    </row>
    <row r="271" customFormat="false" ht="15" hidden="false" customHeight="false" outlineLevel="0" collapsed="false">
      <c r="A271" s="29" t="n">
        <v>270</v>
      </c>
      <c r="B271" s="36" t="s">
        <v>20</v>
      </c>
      <c r="C271" s="35" t="s">
        <v>8</v>
      </c>
      <c r="D271" s="30" t="s">
        <v>302</v>
      </c>
      <c r="E271" s="31" t="s">
        <v>176</v>
      </c>
      <c r="F271" s="31" t="n">
        <v>0</v>
      </c>
      <c r="G271" s="32" t="n">
        <f aca="false">((297*2)+252)*1.05</f>
        <v>888.3</v>
      </c>
      <c r="H271" s="32" t="n">
        <f aca="false">F271*G271</f>
        <v>0</v>
      </c>
      <c r="I271" s="39" t="s">
        <v>43</v>
      </c>
      <c r="J271" s="33"/>
    </row>
    <row r="272" customFormat="false" ht="15" hidden="false" customHeight="false" outlineLevel="0" collapsed="false">
      <c r="A272" s="29" t="n">
        <v>271</v>
      </c>
      <c r="B272" s="38" t="s">
        <v>20</v>
      </c>
      <c r="C272" s="35" t="s">
        <v>8</v>
      </c>
      <c r="D272" s="30" t="s">
        <v>303</v>
      </c>
      <c r="E272" s="31" t="s">
        <v>176</v>
      </c>
      <c r="F272" s="31" t="n">
        <v>1</v>
      </c>
      <c r="G272" s="32" t="n">
        <f aca="false">((297*2.25)+252)*1.05</f>
        <v>966.2625</v>
      </c>
      <c r="H272" s="32" t="n">
        <f aca="false">F272*G272</f>
        <v>966.2625</v>
      </c>
      <c r="I272" s="39" t="s">
        <v>43</v>
      </c>
      <c r="J272" s="33"/>
    </row>
    <row r="273" customFormat="false" ht="15" hidden="false" customHeight="false" outlineLevel="0" collapsed="false">
      <c r="A273" s="29" t="n">
        <v>272</v>
      </c>
      <c r="B273" s="36" t="s">
        <v>20</v>
      </c>
      <c r="C273" s="35" t="s">
        <v>8</v>
      </c>
      <c r="D273" s="30" t="s">
        <v>304</v>
      </c>
      <c r="E273" s="31" t="s">
        <v>176</v>
      </c>
      <c r="F273" s="31" t="n">
        <v>2</v>
      </c>
      <c r="G273" s="32" t="n">
        <f aca="false">((297*2)+252)*1.05</f>
        <v>888.3</v>
      </c>
      <c r="H273" s="32" t="n">
        <f aca="false">F273*G273</f>
        <v>1776.6</v>
      </c>
      <c r="I273" s="39" t="s">
        <v>43</v>
      </c>
      <c r="J273" s="33"/>
    </row>
    <row r="274" customFormat="false" ht="15" hidden="false" customHeight="false" outlineLevel="0" collapsed="false">
      <c r="A274" s="29" t="n">
        <v>273</v>
      </c>
      <c r="B274" s="38" t="s">
        <v>20</v>
      </c>
      <c r="C274" s="35" t="s">
        <v>8</v>
      </c>
      <c r="D274" s="30" t="s">
        <v>305</v>
      </c>
      <c r="E274" s="31" t="s">
        <v>176</v>
      </c>
      <c r="F274" s="31" t="n">
        <v>1</v>
      </c>
      <c r="G274" s="32" t="n">
        <f aca="false">((297*2.25)+252)*1.05</f>
        <v>966.2625</v>
      </c>
      <c r="H274" s="32" t="n">
        <f aca="false">F274*G274</f>
        <v>966.2625</v>
      </c>
      <c r="I274" s="39" t="s">
        <v>43</v>
      </c>
      <c r="J274" s="33"/>
    </row>
    <row r="275" customFormat="false" ht="15" hidden="false" customHeight="false" outlineLevel="0" collapsed="false">
      <c r="A275" s="29" t="n">
        <v>274</v>
      </c>
      <c r="B275" s="36" t="s">
        <v>20</v>
      </c>
      <c r="C275" s="35" t="s">
        <v>8</v>
      </c>
      <c r="D275" s="30" t="s">
        <v>306</v>
      </c>
      <c r="E275" s="31" t="s">
        <v>176</v>
      </c>
      <c r="F275" s="31" t="n">
        <v>3</v>
      </c>
      <c r="G275" s="32" t="n">
        <f aca="false">((297*2)+252)*1.05</f>
        <v>888.3</v>
      </c>
      <c r="H275" s="32" t="n">
        <f aca="false">F275*G275</f>
        <v>2664.9</v>
      </c>
      <c r="I275" s="37" t="s">
        <v>43</v>
      </c>
      <c r="J275" s="33"/>
    </row>
    <row r="276" customFormat="false" ht="15" hidden="false" customHeight="false" outlineLevel="0" collapsed="false">
      <c r="A276" s="29" t="n">
        <v>275</v>
      </c>
      <c r="B276" s="38" t="s">
        <v>20</v>
      </c>
      <c r="C276" s="35" t="s">
        <v>8</v>
      </c>
      <c r="D276" s="30" t="s">
        <v>307</v>
      </c>
      <c r="E276" s="31" t="s">
        <v>176</v>
      </c>
      <c r="F276" s="31" t="n">
        <v>3</v>
      </c>
      <c r="G276" s="32" t="n">
        <f aca="false">((297*2.25)+252)*1.05</f>
        <v>966.2625</v>
      </c>
      <c r="H276" s="32" t="n">
        <f aca="false">F276*G276</f>
        <v>2898.7875</v>
      </c>
      <c r="I276" s="37" t="s">
        <v>43</v>
      </c>
      <c r="J276" s="33"/>
    </row>
    <row r="277" customFormat="false" ht="15" hidden="false" customHeight="false" outlineLevel="0" collapsed="false">
      <c r="A277" s="29" t="n">
        <v>276</v>
      </c>
      <c r="B277" s="36" t="s">
        <v>20</v>
      </c>
      <c r="C277" s="35" t="s">
        <v>8</v>
      </c>
      <c r="D277" s="30" t="s">
        <v>308</v>
      </c>
      <c r="E277" s="31" t="s">
        <v>176</v>
      </c>
      <c r="F277" s="31" t="n">
        <v>0</v>
      </c>
      <c r="G277" s="32" t="n">
        <f aca="false">((297*2)+252)*1.05</f>
        <v>888.3</v>
      </c>
      <c r="H277" s="32" t="n">
        <f aca="false">F277*G277</f>
        <v>0</v>
      </c>
      <c r="I277" s="37" t="s">
        <v>43</v>
      </c>
      <c r="J277" s="33"/>
    </row>
    <row r="278" customFormat="false" ht="15" hidden="false" customHeight="false" outlineLevel="0" collapsed="false">
      <c r="A278" s="29" t="n">
        <v>277</v>
      </c>
      <c r="B278" s="38" t="s">
        <v>20</v>
      </c>
      <c r="C278" s="35" t="s">
        <v>8</v>
      </c>
      <c r="D278" s="30" t="s">
        <v>309</v>
      </c>
      <c r="E278" s="31" t="s">
        <v>176</v>
      </c>
      <c r="F278" s="31" t="n">
        <v>2</v>
      </c>
      <c r="G278" s="32" t="n">
        <f aca="false">((297*2.25)+252)*1.05</f>
        <v>966.2625</v>
      </c>
      <c r="H278" s="32" t="n">
        <f aca="false">F278*G278</f>
        <v>1932.525</v>
      </c>
      <c r="I278" s="37" t="s">
        <v>43</v>
      </c>
      <c r="J278" s="33"/>
    </row>
    <row r="279" customFormat="false" ht="15" hidden="false" customHeight="false" outlineLevel="0" collapsed="false">
      <c r="A279" s="29" t="n">
        <v>278</v>
      </c>
      <c r="B279" s="36" t="s">
        <v>20</v>
      </c>
      <c r="C279" s="35" t="s">
        <v>8</v>
      </c>
      <c r="D279" s="30" t="s">
        <v>310</v>
      </c>
      <c r="E279" s="31" t="s">
        <v>176</v>
      </c>
      <c r="F279" s="31" t="n">
        <v>2</v>
      </c>
      <c r="G279" s="32" t="n">
        <f aca="false">((297*2)+252)*1.05</f>
        <v>888.3</v>
      </c>
      <c r="H279" s="32" t="n">
        <f aca="false">F279*G279</f>
        <v>1776.6</v>
      </c>
      <c r="I279" s="39" t="s">
        <v>43</v>
      </c>
      <c r="J279" s="33"/>
    </row>
    <row r="280" customFormat="false" ht="15" hidden="false" customHeight="false" outlineLevel="0" collapsed="false">
      <c r="A280" s="29" t="n">
        <v>279</v>
      </c>
      <c r="B280" s="38" t="s">
        <v>20</v>
      </c>
      <c r="C280" s="35" t="s">
        <v>8</v>
      </c>
      <c r="D280" s="30" t="s">
        <v>311</v>
      </c>
      <c r="E280" s="31" t="s">
        <v>176</v>
      </c>
      <c r="F280" s="31" t="n">
        <v>2</v>
      </c>
      <c r="G280" s="32" t="n">
        <f aca="false">((297*2.25)+252)*1.05</f>
        <v>966.2625</v>
      </c>
      <c r="H280" s="32" t="n">
        <f aca="false">F280*G280</f>
        <v>1932.525</v>
      </c>
      <c r="I280" s="39" t="s">
        <v>43</v>
      </c>
      <c r="J280" s="33"/>
    </row>
    <row r="281" customFormat="false" ht="15" hidden="false" customHeight="false" outlineLevel="0" collapsed="false">
      <c r="A281" s="29" t="n">
        <v>280</v>
      </c>
      <c r="B281" s="36" t="s">
        <v>20</v>
      </c>
      <c r="C281" s="35" t="s">
        <v>8</v>
      </c>
      <c r="D281" s="30" t="s">
        <v>312</v>
      </c>
      <c r="E281" s="31" t="s">
        <v>176</v>
      </c>
      <c r="F281" s="31" t="n">
        <v>2</v>
      </c>
      <c r="G281" s="32" t="n">
        <f aca="false">((297*2)+252)*1.05</f>
        <v>888.3</v>
      </c>
      <c r="H281" s="32" t="n">
        <f aca="false">F281*G281</f>
        <v>1776.6</v>
      </c>
      <c r="I281" s="39" t="s">
        <v>43</v>
      </c>
      <c r="J281" s="33"/>
    </row>
    <row r="282" customFormat="false" ht="15" hidden="false" customHeight="false" outlineLevel="0" collapsed="false">
      <c r="A282" s="29" t="n">
        <v>281</v>
      </c>
      <c r="B282" s="38" t="s">
        <v>20</v>
      </c>
      <c r="C282" s="35" t="s">
        <v>8</v>
      </c>
      <c r="D282" s="30" t="s">
        <v>313</v>
      </c>
      <c r="E282" s="31" t="s">
        <v>176</v>
      </c>
      <c r="F282" s="31" t="n">
        <v>2</v>
      </c>
      <c r="G282" s="32" t="n">
        <f aca="false">((297*2.25)+252)*1.05</f>
        <v>966.2625</v>
      </c>
      <c r="H282" s="32" t="n">
        <f aca="false">F282*G282</f>
        <v>1932.525</v>
      </c>
      <c r="I282" s="39" t="s">
        <v>43</v>
      </c>
      <c r="J282" s="33"/>
    </row>
    <row r="283" customFormat="false" ht="15" hidden="false" customHeight="false" outlineLevel="0" collapsed="false">
      <c r="A283" s="29" t="n">
        <v>282</v>
      </c>
      <c r="B283" s="36" t="s">
        <v>20</v>
      </c>
      <c r="C283" s="35" t="s">
        <v>8</v>
      </c>
      <c r="D283" s="30" t="s">
        <v>314</v>
      </c>
      <c r="E283" s="31" t="s">
        <v>176</v>
      </c>
      <c r="F283" s="31" t="n">
        <v>2</v>
      </c>
      <c r="G283" s="32" t="n">
        <f aca="false">((297*2)+252)*1.05</f>
        <v>888.3</v>
      </c>
      <c r="H283" s="32" t="n">
        <f aca="false">F283*G283</f>
        <v>1776.6</v>
      </c>
      <c r="I283" s="39" t="s">
        <v>43</v>
      </c>
      <c r="J283" s="33"/>
    </row>
    <row r="284" customFormat="false" ht="15" hidden="false" customHeight="false" outlineLevel="0" collapsed="false">
      <c r="A284" s="29" t="n">
        <v>283</v>
      </c>
      <c r="B284" s="40" t="s">
        <v>20</v>
      </c>
      <c r="C284" s="35" t="s">
        <v>8</v>
      </c>
      <c r="D284" s="30" t="s">
        <v>315</v>
      </c>
      <c r="E284" s="31" t="s">
        <v>176</v>
      </c>
      <c r="F284" s="31" t="n">
        <v>2</v>
      </c>
      <c r="G284" s="32" t="n">
        <f aca="false">((297*2.25)+252)*1.05</f>
        <v>966.2625</v>
      </c>
      <c r="H284" s="32" t="n">
        <f aca="false">F284*G284</f>
        <v>1932.525</v>
      </c>
      <c r="I284" s="37" t="s">
        <v>43</v>
      </c>
      <c r="J284" s="33"/>
    </row>
    <row r="285" customFormat="false" ht="15" hidden="false" customHeight="false" outlineLevel="0" collapsed="false">
      <c r="A285" s="29" t="n">
        <v>284</v>
      </c>
      <c r="B285" s="35" t="s">
        <v>316</v>
      </c>
      <c r="C285" s="35" t="s">
        <v>8</v>
      </c>
      <c r="D285" s="41" t="s">
        <v>317</v>
      </c>
      <c r="E285" s="31" t="s">
        <v>176</v>
      </c>
      <c r="F285" s="42" t="n">
        <v>4</v>
      </c>
      <c r="G285" s="32" t="n">
        <f aca="false">((297*2.25)+252)*1.05</f>
        <v>966.2625</v>
      </c>
      <c r="H285" s="32" t="n">
        <f aca="false">F285*G285</f>
        <v>3865.05</v>
      </c>
      <c r="I285" s="37" t="s">
        <v>43</v>
      </c>
      <c r="J285" s="33"/>
    </row>
    <row r="286" customFormat="false" ht="15" hidden="false" customHeight="false" outlineLevel="0" collapsed="false">
      <c r="A286" s="29" t="n">
        <v>285</v>
      </c>
      <c r="B286" s="35" t="s">
        <v>316</v>
      </c>
      <c r="C286" s="35" t="s">
        <v>8</v>
      </c>
      <c r="D286" s="41" t="s">
        <v>318</v>
      </c>
      <c r="E286" s="31" t="s">
        <v>176</v>
      </c>
      <c r="F286" s="42" t="n">
        <v>4</v>
      </c>
      <c r="G286" s="32" t="n">
        <f aca="false">((297*2)+252)*1.05</f>
        <v>888.3</v>
      </c>
      <c r="H286" s="32" t="n">
        <f aca="false">F286*G286</f>
        <v>3553.2</v>
      </c>
      <c r="I286" s="37" t="s">
        <v>43</v>
      </c>
      <c r="J286" s="33"/>
    </row>
    <row r="287" customFormat="false" ht="15" hidden="false" customHeight="false" outlineLevel="0" collapsed="false">
      <c r="A287" s="29" t="n">
        <v>286</v>
      </c>
      <c r="B287" s="35" t="s">
        <v>316</v>
      </c>
      <c r="C287" s="35" t="s">
        <v>8</v>
      </c>
      <c r="D287" s="41" t="s">
        <v>319</v>
      </c>
      <c r="E287" s="31" t="s">
        <v>176</v>
      </c>
      <c r="F287" s="42" t="n">
        <v>1</v>
      </c>
      <c r="G287" s="32" t="n">
        <f aca="false">((297*2.25)+252)*1.05</f>
        <v>966.2625</v>
      </c>
      <c r="H287" s="32" t="n">
        <f aca="false">F287*G287</f>
        <v>966.2625</v>
      </c>
      <c r="I287" s="37" t="s">
        <v>43</v>
      </c>
      <c r="J287" s="33"/>
    </row>
    <row r="288" customFormat="false" ht="15" hidden="false" customHeight="false" outlineLevel="0" collapsed="false">
      <c r="A288" s="29" t="n">
        <v>287</v>
      </c>
      <c r="B288" s="35" t="s">
        <v>316</v>
      </c>
      <c r="C288" s="35" t="s">
        <v>8</v>
      </c>
      <c r="D288" s="41" t="s">
        <v>320</v>
      </c>
      <c r="E288" s="31" t="s">
        <v>176</v>
      </c>
      <c r="F288" s="42" t="n">
        <v>1</v>
      </c>
      <c r="G288" s="32" t="n">
        <f aca="false">((297*2.25)+252)*1.05</f>
        <v>966.2625</v>
      </c>
      <c r="H288" s="32" t="n">
        <f aca="false">F288*G288</f>
        <v>966.2625</v>
      </c>
      <c r="I288" s="37" t="s">
        <v>43</v>
      </c>
      <c r="J288" s="33"/>
    </row>
    <row r="289" customFormat="false" ht="15" hidden="false" customHeight="false" outlineLevel="0" collapsed="false">
      <c r="A289" s="29" t="n">
        <v>288</v>
      </c>
      <c r="B289" s="35" t="s">
        <v>316</v>
      </c>
      <c r="C289" s="35" t="s">
        <v>8</v>
      </c>
      <c r="D289" s="41" t="s">
        <v>321</v>
      </c>
      <c r="E289" s="31" t="s">
        <v>176</v>
      </c>
      <c r="F289" s="42" t="n">
        <v>1</v>
      </c>
      <c r="G289" s="32" t="n">
        <f aca="false">((297*2.25)+252)*1.05</f>
        <v>966.2625</v>
      </c>
      <c r="H289" s="32" t="n">
        <f aca="false">F289*G289</f>
        <v>966.2625</v>
      </c>
      <c r="I289" s="37" t="s">
        <v>43</v>
      </c>
      <c r="J289" s="33"/>
    </row>
    <row r="290" customFormat="false" ht="15" hidden="false" customHeight="false" outlineLevel="0" collapsed="false">
      <c r="A290" s="29" t="n">
        <v>289</v>
      </c>
      <c r="B290" s="35" t="s">
        <v>316</v>
      </c>
      <c r="C290" s="35" t="s">
        <v>8</v>
      </c>
      <c r="D290" s="41" t="s">
        <v>322</v>
      </c>
      <c r="E290" s="31" t="s">
        <v>176</v>
      </c>
      <c r="F290" s="42" t="n">
        <v>1</v>
      </c>
      <c r="G290" s="32" t="n">
        <f aca="false">((297*2.25)+252)*1.05</f>
        <v>966.2625</v>
      </c>
      <c r="H290" s="32" t="n">
        <f aca="false">F290*G290</f>
        <v>966.2625</v>
      </c>
      <c r="I290" s="37" t="s">
        <v>43</v>
      </c>
      <c r="J290" s="33"/>
    </row>
    <row r="291" customFormat="false" ht="15" hidden="false" customHeight="false" outlineLevel="0" collapsed="false">
      <c r="A291" s="29" t="n">
        <v>290</v>
      </c>
      <c r="B291" s="35" t="s">
        <v>316</v>
      </c>
      <c r="C291" s="35" t="s">
        <v>8</v>
      </c>
      <c r="D291" s="41" t="s">
        <v>323</v>
      </c>
      <c r="E291" s="31" t="s">
        <v>176</v>
      </c>
      <c r="F291" s="42" t="n">
        <v>1</v>
      </c>
      <c r="G291" s="32" t="n">
        <f aca="false">((297*2)+252)*1.05</f>
        <v>888.3</v>
      </c>
      <c r="H291" s="32" t="n">
        <f aca="false">F291*G291</f>
        <v>888.3</v>
      </c>
      <c r="I291" s="37" t="s">
        <v>43</v>
      </c>
      <c r="J291" s="33"/>
    </row>
    <row r="292" customFormat="false" ht="15" hidden="false" customHeight="false" outlineLevel="0" collapsed="false">
      <c r="A292" s="29" t="n">
        <v>291</v>
      </c>
      <c r="B292" s="35" t="s">
        <v>316</v>
      </c>
      <c r="C292" s="35" t="s">
        <v>8</v>
      </c>
      <c r="D292" s="41" t="s">
        <v>324</v>
      </c>
      <c r="E292" s="31" t="s">
        <v>176</v>
      </c>
      <c r="F292" s="42" t="n">
        <v>3</v>
      </c>
      <c r="G292" s="32" t="n">
        <f aca="false">((305*2.25)+252)*1.05</f>
        <v>985.1625</v>
      </c>
      <c r="H292" s="32" t="n">
        <f aca="false">F292*G292</f>
        <v>2955.4875</v>
      </c>
      <c r="I292" s="33" t="s">
        <v>180</v>
      </c>
      <c r="J292" s="33"/>
    </row>
    <row r="293" customFormat="false" ht="15" hidden="false" customHeight="false" outlineLevel="0" collapsed="false">
      <c r="A293" s="29" t="n">
        <v>292</v>
      </c>
      <c r="B293" s="35" t="s">
        <v>316</v>
      </c>
      <c r="C293" s="35" t="s">
        <v>8</v>
      </c>
      <c r="D293" s="41" t="s">
        <v>325</v>
      </c>
      <c r="E293" s="31" t="s">
        <v>176</v>
      </c>
      <c r="F293" s="42" t="n">
        <v>1</v>
      </c>
      <c r="G293" s="32" t="n">
        <f aca="false">((305*2.25)+252)*1.05</f>
        <v>985.1625</v>
      </c>
      <c r="H293" s="32" t="n">
        <f aca="false">F293*G293</f>
        <v>985.1625</v>
      </c>
      <c r="I293" s="33" t="s">
        <v>180</v>
      </c>
      <c r="J293" s="33"/>
    </row>
    <row r="294" customFormat="false" ht="15" hidden="false" customHeight="false" outlineLevel="0" collapsed="false">
      <c r="A294" s="29" t="n">
        <v>293</v>
      </c>
      <c r="B294" s="35" t="s">
        <v>316</v>
      </c>
      <c r="C294" s="35" t="s">
        <v>8</v>
      </c>
      <c r="D294" s="41" t="s">
        <v>326</v>
      </c>
      <c r="E294" s="31" t="s">
        <v>176</v>
      </c>
      <c r="F294" s="42" t="n">
        <v>1</v>
      </c>
      <c r="G294" s="32" t="n">
        <f aca="false">((305*2)+252)*1.05</f>
        <v>905.1</v>
      </c>
      <c r="H294" s="32" t="n">
        <f aca="false">F294*G294</f>
        <v>905.1</v>
      </c>
      <c r="I294" s="33" t="s">
        <v>180</v>
      </c>
      <c r="J294" s="33"/>
    </row>
    <row r="295" customFormat="false" ht="15" hidden="false" customHeight="false" outlineLevel="0" collapsed="false">
      <c r="A295" s="29" t="n">
        <v>294</v>
      </c>
      <c r="B295" s="35" t="s">
        <v>316</v>
      </c>
      <c r="C295" s="35" t="s">
        <v>8</v>
      </c>
      <c r="D295" s="41" t="s">
        <v>327</v>
      </c>
      <c r="E295" s="31" t="s">
        <v>176</v>
      </c>
      <c r="F295" s="42" t="n">
        <v>1</v>
      </c>
      <c r="G295" s="32" t="n">
        <f aca="false">((305*2.25)+252)*1.05</f>
        <v>985.1625</v>
      </c>
      <c r="H295" s="32" t="n">
        <f aca="false">F295*G295</f>
        <v>985.1625</v>
      </c>
      <c r="I295" s="33" t="s">
        <v>180</v>
      </c>
      <c r="J295" s="33"/>
    </row>
    <row r="296" customFormat="false" ht="15" hidden="false" customHeight="false" outlineLevel="0" collapsed="false">
      <c r="A296" s="29" t="n">
        <v>295</v>
      </c>
      <c r="B296" s="35" t="s">
        <v>316</v>
      </c>
      <c r="C296" s="35" t="s">
        <v>8</v>
      </c>
      <c r="D296" s="41" t="s">
        <v>328</v>
      </c>
      <c r="E296" s="31" t="s">
        <v>176</v>
      </c>
      <c r="F296" s="42" t="n">
        <v>3</v>
      </c>
      <c r="G296" s="32" t="n">
        <f aca="false">((305*2)+252)*1.05</f>
        <v>905.1</v>
      </c>
      <c r="H296" s="32" t="n">
        <f aca="false">F296*G296</f>
        <v>2715.3</v>
      </c>
      <c r="I296" s="33" t="s">
        <v>180</v>
      </c>
      <c r="J296" s="33"/>
    </row>
    <row r="297" customFormat="false" ht="15" hidden="false" customHeight="false" outlineLevel="0" collapsed="false">
      <c r="A297" s="29" t="n">
        <v>296</v>
      </c>
      <c r="B297" s="35" t="s">
        <v>316</v>
      </c>
      <c r="C297" s="35" t="s">
        <v>8</v>
      </c>
      <c r="D297" s="41" t="s">
        <v>329</v>
      </c>
      <c r="E297" s="31" t="s">
        <v>176</v>
      </c>
      <c r="F297" s="42" t="n">
        <v>1</v>
      </c>
      <c r="G297" s="32" t="n">
        <f aca="false">((305*2)+252)*1.05</f>
        <v>905.1</v>
      </c>
      <c r="H297" s="32" t="n">
        <f aca="false">F297*G297</f>
        <v>905.1</v>
      </c>
      <c r="I297" s="33" t="s">
        <v>180</v>
      </c>
      <c r="J297" s="33"/>
    </row>
    <row r="298" customFormat="false" ht="15" hidden="false" customHeight="false" outlineLevel="0" collapsed="false">
      <c r="A298" s="29" t="n">
        <v>297</v>
      </c>
      <c r="B298" s="35" t="s">
        <v>316</v>
      </c>
      <c r="C298" s="35" t="s">
        <v>8</v>
      </c>
      <c r="D298" s="41" t="s">
        <v>330</v>
      </c>
      <c r="E298" s="31" t="s">
        <v>176</v>
      </c>
      <c r="F298" s="42" t="n">
        <v>1</v>
      </c>
      <c r="G298" s="32" t="n">
        <f aca="false">((305*2.25)+252)*1.05</f>
        <v>985.1625</v>
      </c>
      <c r="H298" s="32" t="n">
        <f aca="false">F298*G298</f>
        <v>985.1625</v>
      </c>
      <c r="I298" s="33" t="s">
        <v>180</v>
      </c>
      <c r="J298" s="33"/>
    </row>
    <row r="299" customFormat="false" ht="15" hidden="false" customHeight="false" outlineLevel="0" collapsed="false">
      <c r="A299" s="29" t="n">
        <v>298</v>
      </c>
      <c r="B299" s="35" t="s">
        <v>316</v>
      </c>
      <c r="C299" s="35" t="s">
        <v>8</v>
      </c>
      <c r="D299" s="41" t="s">
        <v>331</v>
      </c>
      <c r="E299" s="31" t="s">
        <v>176</v>
      </c>
      <c r="F299" s="42" t="n">
        <v>1</v>
      </c>
      <c r="G299" s="32" t="n">
        <f aca="false">((305*2)+252)*1.05</f>
        <v>905.1</v>
      </c>
      <c r="H299" s="32" t="n">
        <f aca="false">F299*G299</f>
        <v>905.1</v>
      </c>
      <c r="I299" s="33" t="s">
        <v>180</v>
      </c>
      <c r="J299" s="33"/>
    </row>
    <row r="300" customFormat="false" ht="15" hidden="false" customHeight="false" outlineLevel="0" collapsed="false">
      <c r="A300" s="29" t="n">
        <v>299</v>
      </c>
      <c r="B300" s="35" t="s">
        <v>316</v>
      </c>
      <c r="C300" s="35" t="s">
        <v>8</v>
      </c>
      <c r="D300" s="41" t="s">
        <v>332</v>
      </c>
      <c r="E300" s="31" t="s">
        <v>176</v>
      </c>
      <c r="F300" s="42" t="n">
        <v>1</v>
      </c>
      <c r="G300" s="32" t="n">
        <f aca="false">((290*2.25)+252)*1.05</f>
        <v>949.725</v>
      </c>
      <c r="H300" s="32" t="n">
        <f aca="false">F300*G300</f>
        <v>949.725</v>
      </c>
      <c r="I300" s="33" t="s">
        <v>108</v>
      </c>
      <c r="J300" s="33"/>
    </row>
    <row r="301" customFormat="false" ht="15" hidden="false" customHeight="false" outlineLevel="0" collapsed="false">
      <c r="A301" s="29" t="n">
        <v>300</v>
      </c>
      <c r="B301" s="35" t="s">
        <v>316</v>
      </c>
      <c r="C301" s="35" t="s">
        <v>8</v>
      </c>
      <c r="D301" s="41" t="s">
        <v>333</v>
      </c>
      <c r="E301" s="31" t="s">
        <v>176</v>
      </c>
      <c r="F301" s="42" t="n">
        <v>1</v>
      </c>
      <c r="G301" s="32" t="n">
        <f aca="false">((290*2.25)+252)*1.05</f>
        <v>949.725</v>
      </c>
      <c r="H301" s="32" t="n">
        <f aca="false">F301*G301</f>
        <v>949.725</v>
      </c>
      <c r="I301" s="33" t="s">
        <v>108</v>
      </c>
      <c r="J301" s="33"/>
    </row>
    <row r="302" customFormat="false" ht="15" hidden="false" customHeight="false" outlineLevel="0" collapsed="false">
      <c r="A302" s="29" t="n">
        <v>301</v>
      </c>
      <c r="B302" s="35" t="s">
        <v>316</v>
      </c>
      <c r="C302" s="35" t="s">
        <v>8</v>
      </c>
      <c r="D302" s="41" t="s">
        <v>334</v>
      </c>
      <c r="E302" s="31" t="s">
        <v>176</v>
      </c>
      <c r="F302" s="42" t="n">
        <v>1</v>
      </c>
      <c r="G302" s="32" t="n">
        <f aca="false">((297*2)+252)*1.05</f>
        <v>888.3</v>
      </c>
      <c r="H302" s="32" t="n">
        <f aca="false">F302*G302</f>
        <v>888.3</v>
      </c>
      <c r="I302" s="33" t="s">
        <v>43</v>
      </c>
      <c r="J302" s="33"/>
    </row>
    <row r="303" customFormat="false" ht="15" hidden="false" customHeight="false" outlineLevel="0" collapsed="false">
      <c r="A303" s="29" t="n">
        <v>302</v>
      </c>
      <c r="B303" s="35" t="s">
        <v>316</v>
      </c>
      <c r="C303" s="35" t="s">
        <v>8</v>
      </c>
      <c r="D303" s="41" t="s">
        <v>335</v>
      </c>
      <c r="E303" s="31" t="s">
        <v>176</v>
      </c>
      <c r="F303" s="42" t="n">
        <v>1</v>
      </c>
      <c r="G303" s="32" t="n">
        <f aca="false">((297*2.25)+252)*1.05</f>
        <v>966.2625</v>
      </c>
      <c r="H303" s="32" t="n">
        <f aca="false">F303*G303</f>
        <v>966.2625</v>
      </c>
      <c r="I303" s="33" t="s">
        <v>43</v>
      </c>
      <c r="J303" s="33"/>
    </row>
    <row r="304" customFormat="false" ht="15" hidden="false" customHeight="false" outlineLevel="0" collapsed="false">
      <c r="A304" s="29" t="n">
        <v>303</v>
      </c>
      <c r="B304" s="35" t="s">
        <v>316</v>
      </c>
      <c r="C304" s="35" t="s">
        <v>8</v>
      </c>
      <c r="D304" s="41" t="s">
        <v>336</v>
      </c>
      <c r="E304" s="31" t="s">
        <v>176</v>
      </c>
      <c r="F304" s="42" t="n">
        <v>1</v>
      </c>
      <c r="G304" s="32" t="n">
        <f aca="false">((297*2)+252)*1.05</f>
        <v>888.3</v>
      </c>
      <c r="H304" s="32" t="n">
        <f aca="false">F304*G304</f>
        <v>888.3</v>
      </c>
      <c r="I304" s="33" t="s">
        <v>43</v>
      </c>
      <c r="J304" s="33"/>
    </row>
    <row r="305" customFormat="false" ht="15" hidden="false" customHeight="false" outlineLevel="0" collapsed="false">
      <c r="A305" s="29" t="n">
        <v>304</v>
      </c>
      <c r="B305" s="35" t="s">
        <v>316</v>
      </c>
      <c r="C305" s="35" t="s">
        <v>8</v>
      </c>
      <c r="D305" s="41" t="s">
        <v>337</v>
      </c>
      <c r="E305" s="31" t="s">
        <v>176</v>
      </c>
      <c r="F305" s="42" t="n">
        <v>1</v>
      </c>
      <c r="G305" s="32" t="n">
        <f aca="false">((297*2.25)+252)*1.05</f>
        <v>966.2625</v>
      </c>
      <c r="H305" s="32" t="n">
        <f aca="false">F305*G305</f>
        <v>966.2625</v>
      </c>
      <c r="I305" s="33" t="s">
        <v>43</v>
      </c>
      <c r="J305" s="33"/>
    </row>
    <row r="306" customFormat="false" ht="15" hidden="false" customHeight="false" outlineLevel="0" collapsed="false">
      <c r="A306" s="29" t="n">
        <v>305</v>
      </c>
      <c r="B306" s="35" t="s">
        <v>316</v>
      </c>
      <c r="C306" s="35" t="s">
        <v>8</v>
      </c>
      <c r="D306" s="41" t="s">
        <v>338</v>
      </c>
      <c r="E306" s="31" t="s">
        <v>176</v>
      </c>
      <c r="F306" s="42" t="n">
        <v>1</v>
      </c>
      <c r="G306" s="32" t="n">
        <f aca="false">((297*2.25)+252)*1.05</f>
        <v>966.2625</v>
      </c>
      <c r="H306" s="32" t="n">
        <f aca="false">F306*G306</f>
        <v>966.2625</v>
      </c>
      <c r="I306" s="33" t="s">
        <v>43</v>
      </c>
      <c r="J306" s="33"/>
    </row>
    <row r="307" customFormat="false" ht="15" hidden="false" customHeight="false" outlineLevel="0" collapsed="false">
      <c r="A307" s="29" t="n">
        <v>306</v>
      </c>
      <c r="B307" s="35" t="s">
        <v>316</v>
      </c>
      <c r="C307" s="35" t="s">
        <v>8</v>
      </c>
      <c r="D307" s="41" t="s">
        <v>339</v>
      </c>
      <c r="E307" s="31" t="s">
        <v>176</v>
      </c>
      <c r="F307" s="42" t="n">
        <v>1</v>
      </c>
      <c r="G307" s="32" t="n">
        <f aca="false">((297*2)+252)*1.05</f>
        <v>888.3</v>
      </c>
      <c r="H307" s="32" t="n">
        <f aca="false">F307*G307</f>
        <v>888.3</v>
      </c>
      <c r="I307" s="33" t="s">
        <v>43</v>
      </c>
      <c r="J307" s="33"/>
    </row>
    <row r="308" customFormat="false" ht="15" hidden="false" customHeight="false" outlineLevel="0" collapsed="false">
      <c r="A308" s="29" t="n">
        <v>307</v>
      </c>
      <c r="B308" s="35" t="s">
        <v>316</v>
      </c>
      <c r="C308" s="35" t="s">
        <v>8</v>
      </c>
      <c r="D308" s="41" t="s">
        <v>340</v>
      </c>
      <c r="E308" s="31" t="s">
        <v>176</v>
      </c>
      <c r="F308" s="42" t="n">
        <v>1</v>
      </c>
      <c r="G308" s="32" t="n">
        <f aca="false">((297*2.25)+252)*1.05</f>
        <v>966.2625</v>
      </c>
      <c r="H308" s="32" t="n">
        <f aca="false">F308*G308</f>
        <v>966.2625</v>
      </c>
      <c r="I308" s="33" t="s">
        <v>43</v>
      </c>
      <c r="J308" s="33"/>
    </row>
    <row r="309" customFormat="false" ht="15" hidden="false" customHeight="false" outlineLevel="0" collapsed="false">
      <c r="A309" s="29" t="n">
        <v>308</v>
      </c>
      <c r="B309" s="35" t="s">
        <v>316</v>
      </c>
      <c r="C309" s="35" t="s">
        <v>8</v>
      </c>
      <c r="D309" s="41" t="s">
        <v>341</v>
      </c>
      <c r="E309" s="31" t="s">
        <v>176</v>
      </c>
      <c r="F309" s="42" t="n">
        <v>1</v>
      </c>
      <c r="G309" s="32" t="n">
        <f aca="false">((297*2.25)+252)*1.05</f>
        <v>966.2625</v>
      </c>
      <c r="H309" s="32" t="n">
        <f aca="false">F309*G309</f>
        <v>966.2625</v>
      </c>
      <c r="I309" s="33" t="s">
        <v>43</v>
      </c>
      <c r="J309" s="33"/>
    </row>
    <row r="310" customFormat="false" ht="15" hidden="false" customHeight="false" outlineLevel="0" collapsed="false">
      <c r="A310" s="29" t="n">
        <v>309</v>
      </c>
      <c r="B310" s="35" t="s">
        <v>316</v>
      </c>
      <c r="C310" s="35" t="s">
        <v>8</v>
      </c>
      <c r="D310" s="41" t="s">
        <v>342</v>
      </c>
      <c r="E310" s="31" t="s">
        <v>176</v>
      </c>
      <c r="F310" s="42" t="n">
        <v>1</v>
      </c>
      <c r="G310" s="32" t="n">
        <f aca="false">((297*2)+252)*1.05</f>
        <v>888.3</v>
      </c>
      <c r="H310" s="32" t="n">
        <f aca="false">F310*G310</f>
        <v>888.3</v>
      </c>
      <c r="I310" s="33" t="s">
        <v>43</v>
      </c>
      <c r="J310" s="33"/>
    </row>
    <row r="311" customFormat="false" ht="15" hidden="false" customHeight="false" outlineLevel="0" collapsed="false">
      <c r="A311" s="29" t="n">
        <v>310</v>
      </c>
      <c r="B311" s="35" t="s">
        <v>316</v>
      </c>
      <c r="C311" s="35" t="s">
        <v>8</v>
      </c>
      <c r="D311" s="41" t="s">
        <v>343</v>
      </c>
      <c r="E311" s="31" t="s">
        <v>176</v>
      </c>
      <c r="F311" s="42" t="n">
        <v>1</v>
      </c>
      <c r="G311" s="32" t="n">
        <f aca="false">((297*2)+252)*1.05</f>
        <v>888.3</v>
      </c>
      <c r="H311" s="32" t="n">
        <f aca="false">F311*G311</f>
        <v>888.3</v>
      </c>
      <c r="I311" s="33" t="s">
        <v>43</v>
      </c>
      <c r="J311" s="33"/>
    </row>
    <row r="312" customFormat="false" ht="15" hidden="false" customHeight="false" outlineLevel="0" collapsed="false">
      <c r="A312" s="29" t="n">
        <v>311</v>
      </c>
      <c r="B312" s="35" t="s">
        <v>316</v>
      </c>
      <c r="C312" s="35" t="s">
        <v>8</v>
      </c>
      <c r="D312" s="41" t="s">
        <v>344</v>
      </c>
      <c r="E312" s="31" t="s">
        <v>176</v>
      </c>
      <c r="F312" s="42" t="n">
        <v>1</v>
      </c>
      <c r="G312" s="32" t="n">
        <f aca="false">((297*2.25)+252)*1.05</f>
        <v>966.2625</v>
      </c>
      <c r="H312" s="32" t="n">
        <f aca="false">F312*G312</f>
        <v>966.2625</v>
      </c>
      <c r="I312" s="33" t="s">
        <v>43</v>
      </c>
      <c r="J312" s="33"/>
    </row>
    <row r="313" customFormat="false" ht="15" hidden="false" customHeight="false" outlineLevel="0" collapsed="false">
      <c r="A313" s="29" t="n">
        <v>312</v>
      </c>
      <c r="B313" s="35" t="s">
        <v>316</v>
      </c>
      <c r="C313" s="35" t="s">
        <v>8</v>
      </c>
      <c r="D313" s="41" t="s">
        <v>345</v>
      </c>
      <c r="E313" s="31" t="s">
        <v>176</v>
      </c>
      <c r="F313" s="42" t="n">
        <v>1</v>
      </c>
      <c r="G313" s="32" t="n">
        <f aca="false">((297*2.25)+252)*1.05</f>
        <v>966.2625</v>
      </c>
      <c r="H313" s="32" t="n">
        <f aca="false">F313*G313</f>
        <v>966.2625</v>
      </c>
      <c r="I313" s="33" t="s">
        <v>43</v>
      </c>
      <c r="J313" s="33"/>
    </row>
    <row r="314" customFormat="false" ht="15" hidden="false" customHeight="false" outlineLevel="0" collapsed="false">
      <c r="A314" s="29" t="n">
        <v>313</v>
      </c>
      <c r="B314" s="35" t="s">
        <v>316</v>
      </c>
      <c r="C314" s="35" t="s">
        <v>8</v>
      </c>
      <c r="D314" s="41" t="s">
        <v>346</v>
      </c>
      <c r="E314" s="31" t="s">
        <v>176</v>
      </c>
      <c r="F314" s="42" t="n">
        <v>1</v>
      </c>
      <c r="G314" s="32" t="n">
        <f aca="false">((297*2.25)+252)*1.05</f>
        <v>966.2625</v>
      </c>
      <c r="H314" s="32" t="n">
        <f aca="false">F314*G314</f>
        <v>966.2625</v>
      </c>
      <c r="I314" s="33" t="s">
        <v>43</v>
      </c>
      <c r="J314" s="33"/>
    </row>
    <row r="315" customFormat="false" ht="15" hidden="false" customHeight="false" outlineLevel="0" collapsed="false">
      <c r="A315" s="29" t="n">
        <v>314</v>
      </c>
      <c r="B315" s="35" t="s">
        <v>316</v>
      </c>
      <c r="C315" s="35" t="s">
        <v>8</v>
      </c>
      <c r="D315" s="41" t="s">
        <v>347</v>
      </c>
      <c r="E315" s="31" t="s">
        <v>176</v>
      </c>
      <c r="F315" s="42" t="n">
        <v>1</v>
      </c>
      <c r="G315" s="32" t="n">
        <f aca="false">((297*2)+252)*1.05</f>
        <v>888.3</v>
      </c>
      <c r="H315" s="32" t="n">
        <f aca="false">F315*G315</f>
        <v>888.3</v>
      </c>
      <c r="I315" s="33" t="s">
        <v>43</v>
      </c>
      <c r="J315" s="33"/>
    </row>
    <row r="316" customFormat="false" ht="15" hidden="false" customHeight="false" outlineLevel="0" collapsed="false">
      <c r="A316" s="29" t="n">
        <v>315</v>
      </c>
      <c r="B316" s="35" t="s">
        <v>316</v>
      </c>
      <c r="C316" s="35" t="s">
        <v>8</v>
      </c>
      <c r="D316" s="41" t="s">
        <v>348</v>
      </c>
      <c r="E316" s="31" t="s">
        <v>176</v>
      </c>
      <c r="F316" s="42" t="n">
        <v>1</v>
      </c>
      <c r="G316" s="32" t="n">
        <f aca="false">((297*2.25)+252)*1.05</f>
        <v>966.2625</v>
      </c>
      <c r="H316" s="32" t="n">
        <f aca="false">F316*G316</f>
        <v>966.2625</v>
      </c>
      <c r="I316" s="33" t="s">
        <v>43</v>
      </c>
      <c r="J316" s="33"/>
    </row>
    <row r="317" customFormat="false" ht="15" hidden="false" customHeight="false" outlineLevel="0" collapsed="false">
      <c r="A317" s="29" t="n">
        <v>316</v>
      </c>
      <c r="B317" s="35" t="s">
        <v>316</v>
      </c>
      <c r="C317" s="35" t="s">
        <v>8</v>
      </c>
      <c r="D317" s="41" t="s">
        <v>349</v>
      </c>
      <c r="E317" s="31" t="s">
        <v>176</v>
      </c>
      <c r="F317" s="42" t="n">
        <v>1</v>
      </c>
      <c r="G317" s="32" t="n">
        <f aca="false">((305*2.25)+252)*1.05</f>
        <v>985.1625</v>
      </c>
      <c r="H317" s="32" t="n">
        <f aca="false">F317*G317</f>
        <v>985.1625</v>
      </c>
      <c r="I317" s="33" t="s">
        <v>180</v>
      </c>
      <c r="J317" s="33"/>
    </row>
    <row r="318" customFormat="false" ht="15" hidden="false" customHeight="false" outlineLevel="0" collapsed="false">
      <c r="A318" s="29" t="n">
        <v>317</v>
      </c>
      <c r="B318" s="35" t="s">
        <v>316</v>
      </c>
      <c r="C318" s="35" t="s">
        <v>8</v>
      </c>
      <c r="D318" s="41" t="s">
        <v>350</v>
      </c>
      <c r="E318" s="31" t="s">
        <v>176</v>
      </c>
      <c r="F318" s="42" t="n">
        <v>1</v>
      </c>
      <c r="G318" s="32" t="n">
        <f aca="false">((305*2.25)+252)*1.05</f>
        <v>985.1625</v>
      </c>
      <c r="H318" s="32" t="n">
        <f aca="false">F318*G318</f>
        <v>985.1625</v>
      </c>
      <c r="I318" s="33" t="s">
        <v>180</v>
      </c>
      <c r="J318" s="33"/>
    </row>
    <row r="319" customFormat="false" ht="15" hidden="false" customHeight="false" outlineLevel="0" collapsed="false">
      <c r="A319" s="29" t="n">
        <v>318</v>
      </c>
      <c r="B319" s="35" t="s">
        <v>316</v>
      </c>
      <c r="C319" s="35" t="s">
        <v>8</v>
      </c>
      <c r="D319" s="41" t="s">
        <v>351</v>
      </c>
      <c r="E319" s="31" t="s">
        <v>176</v>
      </c>
      <c r="F319" s="42" t="n">
        <v>2</v>
      </c>
      <c r="G319" s="32" t="n">
        <f aca="false">((305*2)+252)*1.05</f>
        <v>905.1</v>
      </c>
      <c r="H319" s="32" t="n">
        <f aca="false">F319*G319</f>
        <v>1810.2</v>
      </c>
      <c r="I319" s="33" t="s">
        <v>180</v>
      </c>
      <c r="J319" s="33"/>
    </row>
    <row r="320" customFormat="false" ht="15" hidden="false" customHeight="false" outlineLevel="0" collapsed="false">
      <c r="A320" s="29" t="n">
        <v>319</v>
      </c>
      <c r="B320" s="35" t="s">
        <v>316</v>
      </c>
      <c r="C320" s="35" t="s">
        <v>8</v>
      </c>
      <c r="D320" s="41" t="s">
        <v>352</v>
      </c>
      <c r="E320" s="31" t="s">
        <v>176</v>
      </c>
      <c r="F320" s="42" t="n">
        <v>1</v>
      </c>
      <c r="G320" s="32" t="n">
        <f aca="false">((305*2.25)+252)*1.05</f>
        <v>985.1625</v>
      </c>
      <c r="H320" s="32" t="n">
        <f aca="false">F320*G320</f>
        <v>985.1625</v>
      </c>
      <c r="I320" s="33" t="s">
        <v>180</v>
      </c>
      <c r="J320" s="33"/>
    </row>
    <row r="321" customFormat="false" ht="15" hidden="false" customHeight="false" outlineLevel="0" collapsed="false">
      <c r="A321" s="29" t="n">
        <v>320</v>
      </c>
      <c r="B321" s="35" t="s">
        <v>316</v>
      </c>
      <c r="C321" s="35" t="s">
        <v>8</v>
      </c>
      <c r="D321" s="41" t="s">
        <v>353</v>
      </c>
      <c r="E321" s="31" t="s">
        <v>176</v>
      </c>
      <c r="F321" s="42" t="n">
        <v>1</v>
      </c>
      <c r="G321" s="32" t="n">
        <f aca="false">((305*2)+252)*1.05</f>
        <v>905.1</v>
      </c>
      <c r="H321" s="32" t="n">
        <f aca="false">F321*G321</f>
        <v>905.1</v>
      </c>
      <c r="I321" s="33" t="s">
        <v>180</v>
      </c>
      <c r="J321" s="33"/>
    </row>
    <row r="322" customFormat="false" ht="15" hidden="false" customHeight="false" outlineLevel="0" collapsed="false">
      <c r="A322" s="29" t="n">
        <v>321</v>
      </c>
      <c r="B322" s="35" t="s">
        <v>316</v>
      </c>
      <c r="C322" s="35" t="s">
        <v>8</v>
      </c>
      <c r="D322" s="41" t="s">
        <v>354</v>
      </c>
      <c r="E322" s="31" t="s">
        <v>176</v>
      </c>
      <c r="F322" s="42" t="n">
        <v>5</v>
      </c>
      <c r="G322" s="32" t="n">
        <f aca="false">((305*2.25)+252)*1.05</f>
        <v>985.1625</v>
      </c>
      <c r="H322" s="32" t="n">
        <f aca="false">F322*G322</f>
        <v>4925.8125</v>
      </c>
      <c r="I322" s="33" t="s">
        <v>180</v>
      </c>
      <c r="J322" s="33"/>
    </row>
    <row r="323" customFormat="false" ht="15" hidden="false" customHeight="false" outlineLevel="0" collapsed="false">
      <c r="A323" s="29" t="n">
        <v>322</v>
      </c>
      <c r="B323" s="35" t="s">
        <v>316</v>
      </c>
      <c r="C323" s="35" t="s">
        <v>8</v>
      </c>
      <c r="D323" s="41" t="s">
        <v>355</v>
      </c>
      <c r="E323" s="31" t="s">
        <v>176</v>
      </c>
      <c r="F323" s="42" t="n">
        <v>1</v>
      </c>
      <c r="G323" s="32" t="n">
        <f aca="false">((305*2)+252)*1.05</f>
        <v>905.1</v>
      </c>
      <c r="H323" s="32" t="n">
        <f aca="false">F323*G323</f>
        <v>905.1</v>
      </c>
      <c r="I323" s="33" t="s">
        <v>180</v>
      </c>
      <c r="J323" s="33"/>
    </row>
    <row r="324" customFormat="false" ht="15" hidden="false" customHeight="false" outlineLevel="0" collapsed="false">
      <c r="A324" s="29" t="n">
        <v>323</v>
      </c>
      <c r="B324" s="35" t="s">
        <v>316</v>
      </c>
      <c r="C324" s="35" t="s">
        <v>8</v>
      </c>
      <c r="D324" s="41" t="s">
        <v>356</v>
      </c>
      <c r="E324" s="31" t="s">
        <v>176</v>
      </c>
      <c r="F324" s="42" t="n">
        <v>2</v>
      </c>
      <c r="G324" s="32" t="n">
        <f aca="false">((305*2.25)+252)*1.05</f>
        <v>985.1625</v>
      </c>
      <c r="H324" s="32" t="n">
        <f aca="false">F324*G324</f>
        <v>1970.325</v>
      </c>
      <c r="I324" s="33" t="s">
        <v>180</v>
      </c>
      <c r="J324" s="33"/>
    </row>
    <row r="325" customFormat="false" ht="15" hidden="false" customHeight="false" outlineLevel="0" collapsed="false">
      <c r="A325" s="29" t="n">
        <v>324</v>
      </c>
      <c r="B325" s="35" t="s">
        <v>316</v>
      </c>
      <c r="C325" s="35" t="s">
        <v>8</v>
      </c>
      <c r="D325" s="41" t="s">
        <v>357</v>
      </c>
      <c r="E325" s="31" t="s">
        <v>176</v>
      </c>
      <c r="F325" s="42" t="n">
        <v>1</v>
      </c>
      <c r="G325" s="32" t="n">
        <f aca="false">((305*2.25)+252)*1.05</f>
        <v>985.1625</v>
      </c>
      <c r="H325" s="32" t="n">
        <f aca="false">F325*G325</f>
        <v>985.1625</v>
      </c>
      <c r="I325" s="33" t="s">
        <v>180</v>
      </c>
      <c r="J325" s="33"/>
    </row>
    <row r="326" customFormat="false" ht="15" hidden="false" customHeight="false" outlineLevel="0" collapsed="false">
      <c r="A326" s="29" t="n">
        <v>325</v>
      </c>
      <c r="B326" s="35" t="s">
        <v>316</v>
      </c>
      <c r="C326" s="35" t="s">
        <v>8</v>
      </c>
      <c r="D326" s="41" t="s">
        <v>358</v>
      </c>
      <c r="E326" s="31" t="s">
        <v>176</v>
      </c>
      <c r="F326" s="42" t="n">
        <v>1</v>
      </c>
      <c r="G326" s="32" t="n">
        <f aca="false">((305*2)+252)*1.05</f>
        <v>905.1</v>
      </c>
      <c r="H326" s="32" t="n">
        <f aca="false">F326*G326</f>
        <v>905.1</v>
      </c>
      <c r="I326" s="33" t="s">
        <v>180</v>
      </c>
      <c r="J326" s="33"/>
    </row>
    <row r="327" customFormat="false" ht="15" hidden="false" customHeight="false" outlineLevel="0" collapsed="false">
      <c r="A327" s="29" t="n">
        <v>326</v>
      </c>
      <c r="B327" s="35" t="s">
        <v>316</v>
      </c>
      <c r="C327" s="35" t="s">
        <v>8</v>
      </c>
      <c r="D327" s="41" t="s">
        <v>359</v>
      </c>
      <c r="E327" s="31" t="s">
        <v>176</v>
      </c>
      <c r="F327" s="42" t="n">
        <v>1</v>
      </c>
      <c r="G327" s="32" t="n">
        <f aca="false">((305*2.25)+252)*1.05</f>
        <v>985.1625</v>
      </c>
      <c r="H327" s="32" t="n">
        <f aca="false">F327*G327</f>
        <v>985.1625</v>
      </c>
      <c r="I327" s="33" t="s">
        <v>180</v>
      </c>
      <c r="J327" s="33"/>
    </row>
    <row r="328" customFormat="false" ht="15" hidden="false" customHeight="false" outlineLevel="0" collapsed="false">
      <c r="A328" s="29" t="n">
        <v>327</v>
      </c>
      <c r="B328" s="35" t="s">
        <v>316</v>
      </c>
      <c r="C328" s="35" t="s">
        <v>8</v>
      </c>
      <c r="D328" s="41" t="s">
        <v>360</v>
      </c>
      <c r="E328" s="31" t="s">
        <v>176</v>
      </c>
      <c r="F328" s="42" t="n">
        <v>2</v>
      </c>
      <c r="G328" s="32" t="n">
        <f aca="false">((305*2.25)+252)*1.05</f>
        <v>985.1625</v>
      </c>
      <c r="H328" s="32" t="n">
        <f aca="false">F328*G328</f>
        <v>1970.325</v>
      </c>
      <c r="I328" s="33" t="s">
        <v>180</v>
      </c>
      <c r="J328" s="33"/>
    </row>
    <row r="329" customFormat="false" ht="15" hidden="false" customHeight="false" outlineLevel="0" collapsed="false">
      <c r="A329" s="29" t="n">
        <v>328</v>
      </c>
      <c r="B329" s="35" t="s">
        <v>316</v>
      </c>
      <c r="C329" s="35" t="s">
        <v>8</v>
      </c>
      <c r="D329" s="41" t="s">
        <v>361</v>
      </c>
      <c r="E329" s="31" t="s">
        <v>176</v>
      </c>
      <c r="F329" s="42" t="n">
        <v>1</v>
      </c>
      <c r="G329" s="32" t="n">
        <f aca="false">((305*2)+252)*1.05</f>
        <v>905.1</v>
      </c>
      <c r="H329" s="32" t="n">
        <f aca="false">F329*G329</f>
        <v>905.1</v>
      </c>
      <c r="I329" s="33" t="s">
        <v>180</v>
      </c>
      <c r="J329" s="33"/>
    </row>
    <row r="330" customFormat="false" ht="15" hidden="false" customHeight="false" outlineLevel="0" collapsed="false">
      <c r="A330" s="29" t="n">
        <v>329</v>
      </c>
      <c r="B330" s="35" t="s">
        <v>316</v>
      </c>
      <c r="C330" s="35" t="s">
        <v>8</v>
      </c>
      <c r="D330" s="41" t="s">
        <v>362</v>
      </c>
      <c r="E330" s="31" t="s">
        <v>176</v>
      </c>
      <c r="F330" s="42" t="n">
        <v>1</v>
      </c>
      <c r="G330" s="32" t="n">
        <f aca="false">((305*2.25)+252)*1.05</f>
        <v>985.1625</v>
      </c>
      <c r="H330" s="32" t="n">
        <f aca="false">F330*G330</f>
        <v>985.1625</v>
      </c>
      <c r="I330" s="33" t="s">
        <v>180</v>
      </c>
      <c r="J330" s="33"/>
    </row>
    <row r="331" customFormat="false" ht="15" hidden="false" customHeight="false" outlineLevel="0" collapsed="false">
      <c r="A331" s="29" t="n">
        <v>330</v>
      </c>
      <c r="B331" s="35" t="s">
        <v>316</v>
      </c>
      <c r="C331" s="35" t="s">
        <v>8</v>
      </c>
      <c r="D331" s="41" t="s">
        <v>363</v>
      </c>
      <c r="E331" s="31" t="s">
        <v>176</v>
      </c>
      <c r="F331" s="42" t="n">
        <v>1</v>
      </c>
      <c r="G331" s="32" t="n">
        <f aca="false">((305*2.25)+252)*1.05</f>
        <v>985.1625</v>
      </c>
      <c r="H331" s="32" t="n">
        <f aca="false">F331*G331</f>
        <v>985.1625</v>
      </c>
      <c r="I331" s="33" t="s">
        <v>180</v>
      </c>
      <c r="J331" s="33"/>
    </row>
    <row r="332" customFormat="false" ht="15" hidden="false" customHeight="false" outlineLevel="0" collapsed="false">
      <c r="A332" s="29" t="n">
        <v>331</v>
      </c>
      <c r="B332" s="35" t="s">
        <v>316</v>
      </c>
      <c r="C332" s="35" t="s">
        <v>8</v>
      </c>
      <c r="D332" s="41" t="s">
        <v>364</v>
      </c>
      <c r="E332" s="31" t="s">
        <v>176</v>
      </c>
      <c r="F332" s="42" t="n">
        <v>1</v>
      </c>
      <c r="G332" s="32" t="n">
        <f aca="false">((305*2)+252)*1.05</f>
        <v>905.1</v>
      </c>
      <c r="H332" s="32" t="n">
        <f aca="false">F332*G332</f>
        <v>905.1</v>
      </c>
      <c r="I332" s="33" t="s">
        <v>180</v>
      </c>
      <c r="J332" s="33"/>
    </row>
    <row r="333" customFormat="false" ht="15" hidden="false" customHeight="false" outlineLevel="0" collapsed="false">
      <c r="A333" s="29" t="n">
        <v>332</v>
      </c>
      <c r="B333" s="35" t="s">
        <v>316</v>
      </c>
      <c r="C333" s="35" t="s">
        <v>8</v>
      </c>
      <c r="D333" s="41" t="s">
        <v>365</v>
      </c>
      <c r="E333" s="31" t="s">
        <v>176</v>
      </c>
      <c r="F333" s="42" t="n">
        <v>1</v>
      </c>
      <c r="G333" s="32" t="n">
        <f aca="false">((305*2.25)+252)*1.05</f>
        <v>985.1625</v>
      </c>
      <c r="H333" s="32" t="n">
        <f aca="false">F333*G333</f>
        <v>985.1625</v>
      </c>
      <c r="I333" s="33" t="s">
        <v>180</v>
      </c>
      <c r="J333" s="33"/>
    </row>
    <row r="334" customFormat="false" ht="15" hidden="false" customHeight="false" outlineLevel="0" collapsed="false">
      <c r="A334" s="29" t="n">
        <v>333</v>
      </c>
      <c r="B334" s="35" t="s">
        <v>316</v>
      </c>
      <c r="C334" s="35" t="s">
        <v>8</v>
      </c>
      <c r="D334" s="41" t="s">
        <v>366</v>
      </c>
      <c r="E334" s="31" t="s">
        <v>176</v>
      </c>
      <c r="F334" s="42" t="n">
        <v>1</v>
      </c>
      <c r="G334" s="32" t="n">
        <f aca="false">((305*2)+252)*1.05</f>
        <v>905.1</v>
      </c>
      <c r="H334" s="32" t="n">
        <f aca="false">F334*G334</f>
        <v>905.1</v>
      </c>
      <c r="I334" s="33" t="s">
        <v>180</v>
      </c>
      <c r="J334" s="33"/>
    </row>
    <row r="335" customFormat="false" ht="15" hidden="false" customHeight="false" outlineLevel="0" collapsed="false">
      <c r="A335" s="29" t="n">
        <v>334</v>
      </c>
      <c r="B335" s="35" t="s">
        <v>316</v>
      </c>
      <c r="C335" s="35" t="s">
        <v>8</v>
      </c>
      <c r="D335" s="41" t="s">
        <v>367</v>
      </c>
      <c r="E335" s="31" t="s">
        <v>176</v>
      </c>
      <c r="F335" s="42" t="n">
        <v>1</v>
      </c>
      <c r="G335" s="32" t="n">
        <f aca="false">((305*2)+252)*1.05</f>
        <v>905.1</v>
      </c>
      <c r="H335" s="32" t="n">
        <f aca="false">F335*G335</f>
        <v>905.1</v>
      </c>
      <c r="I335" s="33" t="s">
        <v>180</v>
      </c>
      <c r="J335" s="33"/>
    </row>
    <row r="336" customFormat="false" ht="15" hidden="false" customHeight="false" outlineLevel="0" collapsed="false">
      <c r="A336" s="29" t="n">
        <v>335</v>
      </c>
      <c r="B336" s="35" t="s">
        <v>316</v>
      </c>
      <c r="C336" s="35" t="s">
        <v>8</v>
      </c>
      <c r="D336" s="41" t="s">
        <v>368</v>
      </c>
      <c r="E336" s="31" t="s">
        <v>176</v>
      </c>
      <c r="F336" s="42" t="n">
        <v>1</v>
      </c>
      <c r="G336" s="32" t="n">
        <f aca="false">((305*2)+252)*1.05</f>
        <v>905.1</v>
      </c>
      <c r="H336" s="32" t="n">
        <f aca="false">F336*G336</f>
        <v>905.1</v>
      </c>
      <c r="I336" s="33" t="s">
        <v>180</v>
      </c>
      <c r="J336" s="33"/>
    </row>
    <row r="337" customFormat="false" ht="15" hidden="false" customHeight="false" outlineLevel="0" collapsed="false">
      <c r="A337" s="29" t="n">
        <v>336</v>
      </c>
      <c r="B337" s="35" t="s">
        <v>316</v>
      </c>
      <c r="C337" s="35" t="s">
        <v>8</v>
      </c>
      <c r="D337" s="41" t="s">
        <v>369</v>
      </c>
      <c r="E337" s="31" t="s">
        <v>176</v>
      </c>
      <c r="F337" s="42" t="n">
        <v>3</v>
      </c>
      <c r="G337" s="32" t="n">
        <f aca="false">((290*2.25)+252)*1.05</f>
        <v>949.725</v>
      </c>
      <c r="H337" s="32" t="n">
        <f aca="false">F337*G337</f>
        <v>2849.175</v>
      </c>
      <c r="I337" s="33" t="s">
        <v>108</v>
      </c>
      <c r="J337" s="33"/>
    </row>
    <row r="338" customFormat="false" ht="15" hidden="false" customHeight="false" outlineLevel="0" collapsed="false">
      <c r="A338" s="29" t="n">
        <v>337</v>
      </c>
      <c r="B338" s="35" t="s">
        <v>316</v>
      </c>
      <c r="C338" s="35" t="s">
        <v>8</v>
      </c>
      <c r="D338" s="41" t="s">
        <v>370</v>
      </c>
      <c r="E338" s="31" t="s">
        <v>176</v>
      </c>
      <c r="F338" s="42" t="n">
        <v>1</v>
      </c>
      <c r="G338" s="32" t="n">
        <f aca="false">((290*2)+252)*1.05</f>
        <v>873.6</v>
      </c>
      <c r="H338" s="32" t="n">
        <f aca="false">F338*G338</f>
        <v>873.6</v>
      </c>
      <c r="I338" s="33" t="s">
        <v>108</v>
      </c>
      <c r="J338" s="33"/>
    </row>
    <row r="339" customFormat="false" ht="15" hidden="false" customHeight="false" outlineLevel="0" collapsed="false">
      <c r="A339" s="29" t="n">
        <v>338</v>
      </c>
      <c r="B339" s="35" t="s">
        <v>316</v>
      </c>
      <c r="C339" s="35" t="s">
        <v>8</v>
      </c>
      <c r="D339" s="41" t="s">
        <v>371</v>
      </c>
      <c r="E339" s="31" t="s">
        <v>176</v>
      </c>
      <c r="F339" s="42" t="n">
        <v>1</v>
      </c>
      <c r="G339" s="32" t="n">
        <f aca="false">((290*2.25)+252)*1.05</f>
        <v>949.725</v>
      </c>
      <c r="H339" s="32" t="n">
        <f aca="false">F339*G339</f>
        <v>949.725</v>
      </c>
      <c r="I339" s="33" t="s">
        <v>108</v>
      </c>
      <c r="J339" s="33"/>
    </row>
    <row r="340" customFormat="false" ht="15" hidden="false" customHeight="false" outlineLevel="0" collapsed="false">
      <c r="A340" s="29" t="n">
        <v>339</v>
      </c>
      <c r="B340" s="35" t="s">
        <v>316</v>
      </c>
      <c r="C340" s="35" t="s">
        <v>8</v>
      </c>
      <c r="D340" s="41" t="s">
        <v>372</v>
      </c>
      <c r="E340" s="31" t="s">
        <v>176</v>
      </c>
      <c r="F340" s="42" t="n">
        <v>1</v>
      </c>
      <c r="G340" s="32" t="n">
        <f aca="false">((290*2.25)+252)*1.05</f>
        <v>949.725</v>
      </c>
      <c r="H340" s="32" t="n">
        <f aca="false">F340*G340</f>
        <v>949.725</v>
      </c>
      <c r="I340" s="33" t="s">
        <v>108</v>
      </c>
      <c r="J340" s="33"/>
    </row>
    <row r="341" customFormat="false" ht="15" hidden="false" customHeight="false" outlineLevel="0" collapsed="false">
      <c r="A341" s="29" t="n">
        <v>340</v>
      </c>
      <c r="B341" s="35" t="s">
        <v>316</v>
      </c>
      <c r="C341" s="35" t="s">
        <v>8</v>
      </c>
      <c r="D341" s="41" t="s">
        <v>373</v>
      </c>
      <c r="E341" s="31" t="s">
        <v>176</v>
      </c>
      <c r="F341" s="42" t="n">
        <v>2</v>
      </c>
      <c r="G341" s="32" t="n">
        <f aca="false">((290*2)+252)*1.05</f>
        <v>873.6</v>
      </c>
      <c r="H341" s="32" t="n">
        <f aca="false">F341*G341</f>
        <v>1747.2</v>
      </c>
      <c r="I341" s="33" t="s">
        <v>108</v>
      </c>
      <c r="J341" s="33"/>
    </row>
    <row r="342" customFormat="false" ht="15" hidden="false" customHeight="false" outlineLevel="0" collapsed="false">
      <c r="A342" s="29" t="n">
        <v>341</v>
      </c>
      <c r="B342" s="35" t="s">
        <v>316</v>
      </c>
      <c r="C342" s="35" t="s">
        <v>8</v>
      </c>
      <c r="D342" s="41" t="s">
        <v>374</v>
      </c>
      <c r="E342" s="31" t="s">
        <v>176</v>
      </c>
      <c r="F342" s="42" t="n">
        <v>2</v>
      </c>
      <c r="G342" s="32" t="n">
        <f aca="false">((290*2.25)+252)*1.05</f>
        <v>949.725</v>
      </c>
      <c r="H342" s="32" t="n">
        <f aca="false">F342*G342</f>
        <v>1899.45</v>
      </c>
      <c r="I342" s="33" t="s">
        <v>108</v>
      </c>
      <c r="J342" s="33"/>
    </row>
    <row r="343" customFormat="false" ht="15" hidden="false" customHeight="false" outlineLevel="0" collapsed="false">
      <c r="A343" s="29" t="n">
        <v>342</v>
      </c>
      <c r="B343" s="35" t="s">
        <v>316</v>
      </c>
      <c r="C343" s="35" t="s">
        <v>8</v>
      </c>
      <c r="D343" s="41" t="s">
        <v>375</v>
      </c>
      <c r="E343" s="31" t="s">
        <v>176</v>
      </c>
      <c r="F343" s="42" t="n">
        <v>1</v>
      </c>
      <c r="G343" s="32" t="n">
        <f aca="false">((290*2.25)+252)*1.05</f>
        <v>949.725</v>
      </c>
      <c r="H343" s="32" t="n">
        <f aca="false">F343*G343</f>
        <v>949.725</v>
      </c>
      <c r="I343" s="33" t="s">
        <v>108</v>
      </c>
      <c r="J343" s="33"/>
    </row>
    <row r="344" customFormat="false" ht="15" hidden="false" customHeight="false" outlineLevel="0" collapsed="false">
      <c r="A344" s="29" t="n">
        <v>343</v>
      </c>
      <c r="B344" s="35" t="s">
        <v>316</v>
      </c>
      <c r="C344" s="35" t="s">
        <v>8</v>
      </c>
      <c r="D344" s="41" t="s">
        <v>376</v>
      </c>
      <c r="E344" s="31" t="s">
        <v>176</v>
      </c>
      <c r="F344" s="42" t="n">
        <v>2</v>
      </c>
      <c r="G344" s="32" t="n">
        <f aca="false">((290*2)+252)*1.05</f>
        <v>873.6</v>
      </c>
      <c r="H344" s="32" t="n">
        <f aca="false">F344*G344</f>
        <v>1747.2</v>
      </c>
      <c r="I344" s="33" t="s">
        <v>108</v>
      </c>
      <c r="J344" s="33"/>
    </row>
    <row r="345" customFormat="false" ht="15" hidden="false" customHeight="false" outlineLevel="0" collapsed="false">
      <c r="A345" s="29" t="n">
        <v>344</v>
      </c>
      <c r="B345" s="35" t="s">
        <v>316</v>
      </c>
      <c r="C345" s="35" t="s">
        <v>8</v>
      </c>
      <c r="D345" s="41" t="s">
        <v>377</v>
      </c>
      <c r="E345" s="31" t="s">
        <v>176</v>
      </c>
      <c r="F345" s="42" t="n">
        <v>1</v>
      </c>
      <c r="G345" s="32" t="n">
        <f aca="false">((290*2.25)+252)*1.05</f>
        <v>949.725</v>
      </c>
      <c r="H345" s="32" t="n">
        <f aca="false">F345*G345</f>
        <v>949.725</v>
      </c>
      <c r="I345" s="33" t="s">
        <v>108</v>
      </c>
      <c r="J345" s="33"/>
    </row>
    <row r="346" customFormat="false" ht="15" hidden="false" customHeight="false" outlineLevel="0" collapsed="false">
      <c r="A346" s="29" t="n">
        <v>345</v>
      </c>
      <c r="B346" s="35" t="s">
        <v>316</v>
      </c>
      <c r="C346" s="35" t="s">
        <v>8</v>
      </c>
      <c r="D346" s="41" t="s">
        <v>378</v>
      </c>
      <c r="E346" s="31" t="s">
        <v>176</v>
      </c>
      <c r="F346" s="42" t="n">
        <v>2</v>
      </c>
      <c r="G346" s="32" t="n">
        <f aca="false">((290*2)+252)*1.05</f>
        <v>873.6</v>
      </c>
      <c r="H346" s="32" t="n">
        <f aca="false">F346*G346</f>
        <v>1747.2</v>
      </c>
      <c r="I346" s="33" t="s">
        <v>108</v>
      </c>
      <c r="J346" s="33"/>
    </row>
    <row r="347" customFormat="false" ht="15" hidden="false" customHeight="false" outlineLevel="0" collapsed="false">
      <c r="A347" s="29" t="n">
        <v>346</v>
      </c>
      <c r="B347" s="35" t="s">
        <v>316</v>
      </c>
      <c r="C347" s="35" t="s">
        <v>8</v>
      </c>
      <c r="D347" s="41" t="s">
        <v>379</v>
      </c>
      <c r="E347" s="31" t="s">
        <v>176</v>
      </c>
      <c r="F347" s="42" t="n">
        <v>2</v>
      </c>
      <c r="G347" s="32" t="n">
        <f aca="false">((290*2.25)+252)*1.05</f>
        <v>949.725</v>
      </c>
      <c r="H347" s="32" t="n">
        <f aca="false">F347*G347</f>
        <v>1899.45</v>
      </c>
      <c r="I347" s="33" t="s">
        <v>108</v>
      </c>
      <c r="J347" s="33"/>
    </row>
    <row r="348" customFormat="false" ht="15" hidden="false" customHeight="false" outlineLevel="0" collapsed="false">
      <c r="A348" s="29" t="n">
        <v>347</v>
      </c>
      <c r="B348" s="35" t="s">
        <v>316</v>
      </c>
      <c r="C348" s="35" t="s">
        <v>8</v>
      </c>
      <c r="D348" s="41" t="s">
        <v>380</v>
      </c>
      <c r="E348" s="31" t="s">
        <v>176</v>
      </c>
      <c r="F348" s="42" t="n">
        <v>2</v>
      </c>
      <c r="G348" s="32" t="n">
        <f aca="false">((290*2.25)+252)*1.05</f>
        <v>949.725</v>
      </c>
      <c r="H348" s="32" t="n">
        <f aca="false">F348*G348</f>
        <v>1899.45</v>
      </c>
      <c r="I348" s="33" t="s">
        <v>108</v>
      </c>
      <c r="J348" s="33"/>
    </row>
    <row r="349" customFormat="false" ht="15" hidden="false" customHeight="false" outlineLevel="0" collapsed="false">
      <c r="A349" s="29" t="n">
        <v>348</v>
      </c>
      <c r="B349" s="35" t="s">
        <v>316</v>
      </c>
      <c r="C349" s="35" t="s">
        <v>8</v>
      </c>
      <c r="D349" s="41" t="s">
        <v>381</v>
      </c>
      <c r="E349" s="31" t="s">
        <v>176</v>
      </c>
      <c r="F349" s="42" t="n">
        <v>1</v>
      </c>
      <c r="G349" s="32" t="n">
        <f aca="false">((290*2.25)+252)*1.05</f>
        <v>949.725</v>
      </c>
      <c r="H349" s="32" t="n">
        <f aca="false">F349*G349</f>
        <v>949.725</v>
      </c>
      <c r="I349" s="33" t="s">
        <v>108</v>
      </c>
      <c r="J349" s="33"/>
    </row>
    <row r="350" customFormat="false" ht="15" hidden="false" customHeight="false" outlineLevel="0" collapsed="false">
      <c r="A350" s="29" t="n">
        <v>349</v>
      </c>
      <c r="B350" s="35" t="s">
        <v>316</v>
      </c>
      <c r="C350" s="35" t="s">
        <v>8</v>
      </c>
      <c r="D350" s="41" t="s">
        <v>382</v>
      </c>
      <c r="E350" s="31" t="s">
        <v>176</v>
      </c>
      <c r="F350" s="42" t="n">
        <v>1</v>
      </c>
      <c r="G350" s="32" t="n">
        <f aca="false">((290*2.25)+252)*1.05</f>
        <v>949.725</v>
      </c>
      <c r="H350" s="32" t="n">
        <f aca="false">F350*G350</f>
        <v>949.725</v>
      </c>
      <c r="I350" s="33" t="s">
        <v>108</v>
      </c>
      <c r="J350" s="33"/>
    </row>
    <row r="351" customFormat="false" ht="15" hidden="false" customHeight="false" outlineLevel="0" collapsed="false">
      <c r="A351" s="29" t="n">
        <v>350</v>
      </c>
      <c r="B351" s="35" t="s">
        <v>316</v>
      </c>
      <c r="C351" s="35" t="s">
        <v>8</v>
      </c>
      <c r="D351" s="41" t="s">
        <v>383</v>
      </c>
      <c r="E351" s="31" t="s">
        <v>176</v>
      </c>
      <c r="F351" s="42" t="n">
        <v>2</v>
      </c>
      <c r="G351" s="32" t="n">
        <f aca="false">((297*2.25)+252)*1.05</f>
        <v>966.2625</v>
      </c>
      <c r="H351" s="32" t="n">
        <f aca="false">F351*G351</f>
        <v>1932.525</v>
      </c>
      <c r="I351" s="33" t="s">
        <v>43</v>
      </c>
      <c r="J351" s="33"/>
    </row>
    <row r="352" customFormat="false" ht="15" hidden="false" customHeight="false" outlineLevel="0" collapsed="false">
      <c r="A352" s="29" t="n">
        <v>351</v>
      </c>
      <c r="B352" s="35" t="s">
        <v>316</v>
      </c>
      <c r="C352" s="35" t="s">
        <v>8</v>
      </c>
      <c r="D352" s="41" t="s">
        <v>384</v>
      </c>
      <c r="E352" s="31" t="s">
        <v>176</v>
      </c>
      <c r="F352" s="42" t="n">
        <v>2</v>
      </c>
      <c r="G352" s="32" t="n">
        <f aca="false">((297*2)+252)*1.05</f>
        <v>888.3</v>
      </c>
      <c r="H352" s="32" t="n">
        <f aca="false">F352*G352</f>
        <v>1776.6</v>
      </c>
      <c r="I352" s="33" t="s">
        <v>43</v>
      </c>
      <c r="J352" s="33"/>
    </row>
    <row r="353" customFormat="false" ht="15" hidden="false" customHeight="false" outlineLevel="0" collapsed="false">
      <c r="A353" s="29" t="n">
        <v>352</v>
      </c>
      <c r="B353" s="35" t="s">
        <v>316</v>
      </c>
      <c r="C353" s="35" t="s">
        <v>8</v>
      </c>
      <c r="D353" s="41" t="s">
        <v>385</v>
      </c>
      <c r="E353" s="31" t="s">
        <v>176</v>
      </c>
      <c r="F353" s="42" t="n">
        <v>2</v>
      </c>
      <c r="G353" s="32" t="n">
        <f aca="false">((297*2.25)+252)*1.05</f>
        <v>966.2625</v>
      </c>
      <c r="H353" s="32" t="n">
        <f aca="false">F353*G353</f>
        <v>1932.525</v>
      </c>
      <c r="I353" s="33" t="s">
        <v>43</v>
      </c>
      <c r="J353" s="33"/>
    </row>
    <row r="354" customFormat="false" ht="15" hidden="false" customHeight="false" outlineLevel="0" collapsed="false">
      <c r="A354" s="29" t="n">
        <v>353</v>
      </c>
      <c r="B354" s="35" t="s">
        <v>316</v>
      </c>
      <c r="C354" s="35" t="s">
        <v>8</v>
      </c>
      <c r="D354" s="41" t="s">
        <v>386</v>
      </c>
      <c r="E354" s="31" t="s">
        <v>176</v>
      </c>
      <c r="F354" s="42" t="n">
        <v>1</v>
      </c>
      <c r="G354" s="32" t="n">
        <f aca="false">((297*2.25)+252)*1.05</f>
        <v>966.2625</v>
      </c>
      <c r="H354" s="32" t="n">
        <f aca="false">F354*G354</f>
        <v>966.2625</v>
      </c>
      <c r="I354" s="33" t="s">
        <v>43</v>
      </c>
      <c r="J354" s="33"/>
    </row>
    <row r="355" customFormat="false" ht="15" hidden="false" customHeight="false" outlineLevel="0" collapsed="false">
      <c r="A355" s="29" t="n">
        <v>354</v>
      </c>
      <c r="B355" s="35" t="s">
        <v>316</v>
      </c>
      <c r="C355" s="35" t="s">
        <v>8</v>
      </c>
      <c r="D355" s="41" t="s">
        <v>387</v>
      </c>
      <c r="E355" s="31" t="s">
        <v>176</v>
      </c>
      <c r="F355" s="42" t="n">
        <v>1</v>
      </c>
      <c r="G355" s="32" t="n">
        <f aca="false">((297*2)+252)*1.05</f>
        <v>888.3</v>
      </c>
      <c r="H355" s="32" t="n">
        <f aca="false">F355*G355</f>
        <v>888.3</v>
      </c>
      <c r="I355" s="33" t="s">
        <v>43</v>
      </c>
      <c r="J355" s="33"/>
    </row>
    <row r="356" customFormat="false" ht="15" hidden="false" customHeight="false" outlineLevel="0" collapsed="false">
      <c r="A356" s="29" t="n">
        <v>355</v>
      </c>
      <c r="B356" s="35" t="s">
        <v>316</v>
      </c>
      <c r="C356" s="35" t="s">
        <v>8</v>
      </c>
      <c r="D356" s="41" t="s">
        <v>388</v>
      </c>
      <c r="E356" s="31" t="s">
        <v>176</v>
      </c>
      <c r="F356" s="42" t="n">
        <v>1</v>
      </c>
      <c r="G356" s="32" t="n">
        <f aca="false">((297*2)+252)*1.05</f>
        <v>888.3</v>
      </c>
      <c r="H356" s="32" t="n">
        <f aca="false">F356*G356</f>
        <v>888.3</v>
      </c>
      <c r="I356" s="33" t="s">
        <v>43</v>
      </c>
      <c r="J356" s="33"/>
    </row>
    <row r="357" customFormat="false" ht="15" hidden="false" customHeight="false" outlineLevel="0" collapsed="false">
      <c r="A357" s="29" t="n">
        <v>356</v>
      </c>
      <c r="B357" s="35" t="s">
        <v>316</v>
      </c>
      <c r="C357" s="35" t="s">
        <v>8</v>
      </c>
      <c r="D357" s="41" t="s">
        <v>389</v>
      </c>
      <c r="E357" s="31" t="s">
        <v>176</v>
      </c>
      <c r="F357" s="42" t="n">
        <v>1</v>
      </c>
      <c r="G357" s="32" t="n">
        <f aca="false">((297*2.25)+252)*1.05</f>
        <v>966.2625</v>
      </c>
      <c r="H357" s="32" t="n">
        <f aca="false">F357*G357</f>
        <v>966.2625</v>
      </c>
      <c r="I357" s="33" t="s">
        <v>43</v>
      </c>
      <c r="J357" s="33"/>
    </row>
    <row r="358" customFormat="false" ht="15" hidden="false" customHeight="false" outlineLevel="0" collapsed="false">
      <c r="A358" s="29" t="n">
        <v>357</v>
      </c>
      <c r="B358" s="35" t="s">
        <v>316</v>
      </c>
      <c r="C358" s="35" t="s">
        <v>8</v>
      </c>
      <c r="D358" s="41" t="s">
        <v>390</v>
      </c>
      <c r="E358" s="31" t="s">
        <v>176</v>
      </c>
      <c r="F358" s="42" t="n">
        <v>3</v>
      </c>
      <c r="G358" s="32" t="n">
        <f aca="false">((297*2.25)+252)*1.05</f>
        <v>966.2625</v>
      </c>
      <c r="H358" s="32" t="n">
        <f aca="false">F358*G358</f>
        <v>2898.7875</v>
      </c>
      <c r="I358" s="33" t="s">
        <v>43</v>
      </c>
      <c r="J358" s="33"/>
    </row>
    <row r="359" customFormat="false" ht="15" hidden="false" customHeight="false" outlineLevel="0" collapsed="false">
      <c r="A359" s="29" t="n">
        <v>358</v>
      </c>
      <c r="B359" s="35" t="s">
        <v>316</v>
      </c>
      <c r="C359" s="35" t="s">
        <v>88</v>
      </c>
      <c r="D359" s="41" t="s">
        <v>391</v>
      </c>
      <c r="E359" s="31" t="s">
        <v>90</v>
      </c>
      <c r="F359" s="42" t="n">
        <v>7</v>
      </c>
      <c r="G359" s="32" t="n">
        <f aca="false">290*1.05</f>
        <v>304.5</v>
      </c>
      <c r="H359" s="32" t="n">
        <f aca="false">F359*G359</f>
        <v>2131.5</v>
      </c>
      <c r="I359" s="33"/>
      <c r="J359" s="33"/>
    </row>
    <row r="360" customFormat="false" ht="15" hidden="false" customHeight="false" outlineLevel="0" collapsed="false">
      <c r="A360" s="29" t="n">
        <v>359</v>
      </c>
      <c r="B360" s="35" t="s">
        <v>316</v>
      </c>
      <c r="C360" s="35" t="s">
        <v>88</v>
      </c>
      <c r="D360" s="41" t="s">
        <v>392</v>
      </c>
      <c r="E360" s="31" t="s">
        <v>90</v>
      </c>
      <c r="F360" s="42" t="n">
        <v>11.2</v>
      </c>
      <c r="G360" s="32" t="n">
        <f aca="false">290*1.05</f>
        <v>304.5</v>
      </c>
      <c r="H360" s="32" t="n">
        <f aca="false">F360*G360</f>
        <v>3410.4</v>
      </c>
      <c r="I360" s="33"/>
      <c r="J360" s="33"/>
    </row>
    <row r="361" customFormat="false" ht="15" hidden="false" customHeight="false" outlineLevel="0" collapsed="false">
      <c r="A361" s="29" t="n">
        <v>360</v>
      </c>
      <c r="B361" s="35" t="s">
        <v>316</v>
      </c>
      <c r="C361" s="35" t="s">
        <v>88</v>
      </c>
      <c r="D361" s="41" t="s">
        <v>393</v>
      </c>
      <c r="E361" s="31" t="s">
        <v>90</v>
      </c>
      <c r="F361" s="42" t="n">
        <v>10.21</v>
      </c>
      <c r="G361" s="32" t="n">
        <f aca="false">290*1.05</f>
        <v>304.5</v>
      </c>
      <c r="H361" s="32" t="n">
        <f aca="false">F361*G361</f>
        <v>3108.945</v>
      </c>
      <c r="I361" s="33"/>
      <c r="J361" s="33"/>
    </row>
    <row r="362" customFormat="false" ht="15" hidden="false" customHeight="false" outlineLevel="0" collapsed="false">
      <c r="A362" s="29" t="n">
        <v>361</v>
      </c>
      <c r="B362" s="35" t="s">
        <v>316</v>
      </c>
      <c r="C362" s="35" t="s">
        <v>88</v>
      </c>
      <c r="D362" s="41" t="s">
        <v>394</v>
      </c>
      <c r="E362" s="31" t="s">
        <v>90</v>
      </c>
      <c r="F362" s="42" t="n">
        <v>7.2</v>
      </c>
      <c r="G362" s="32" t="n">
        <f aca="false">290*1.05</f>
        <v>304.5</v>
      </c>
      <c r="H362" s="32" t="n">
        <f aca="false">F362*G362</f>
        <v>2192.4</v>
      </c>
      <c r="I362" s="33"/>
      <c r="J362" s="33"/>
    </row>
    <row r="363" customFormat="false" ht="15" hidden="false" customHeight="false" outlineLevel="0" collapsed="false">
      <c r="A363" s="29" t="n">
        <v>362</v>
      </c>
      <c r="B363" s="35" t="s">
        <v>316</v>
      </c>
      <c r="C363" s="35" t="s">
        <v>88</v>
      </c>
      <c r="D363" s="41" t="s">
        <v>395</v>
      </c>
      <c r="E363" s="31" t="s">
        <v>90</v>
      </c>
      <c r="F363" s="42" t="n">
        <v>15.23</v>
      </c>
      <c r="G363" s="32" t="n">
        <f aca="false">290*1.05</f>
        <v>304.5</v>
      </c>
      <c r="H363" s="32" t="n">
        <f aca="false">F363*G363</f>
        <v>4637.535</v>
      </c>
      <c r="I363" s="33"/>
      <c r="J363" s="33"/>
    </row>
    <row r="364" customFormat="false" ht="15" hidden="false" customHeight="false" outlineLevel="0" collapsed="false">
      <c r="A364" s="29" t="n">
        <v>363</v>
      </c>
      <c r="B364" s="35" t="s">
        <v>316</v>
      </c>
      <c r="C364" s="35" t="s">
        <v>88</v>
      </c>
      <c r="D364" s="41" t="s">
        <v>396</v>
      </c>
      <c r="E364" s="31" t="s">
        <v>90</v>
      </c>
      <c r="F364" s="42" t="n">
        <v>10</v>
      </c>
      <c r="G364" s="32" t="n">
        <f aca="false">290*1.05</f>
        <v>304.5</v>
      </c>
      <c r="H364" s="32" t="n">
        <f aca="false">F364*G364</f>
        <v>3045</v>
      </c>
      <c r="I364" s="33"/>
      <c r="J364" s="33"/>
    </row>
    <row r="365" customFormat="false" ht="15" hidden="false" customHeight="false" outlineLevel="0" collapsed="false">
      <c r="A365" s="29" t="n">
        <v>364</v>
      </c>
      <c r="B365" s="35" t="s">
        <v>316</v>
      </c>
      <c r="C365" s="35" t="s">
        <v>88</v>
      </c>
      <c r="D365" s="41" t="s">
        <v>397</v>
      </c>
      <c r="E365" s="31" t="s">
        <v>90</v>
      </c>
      <c r="F365" s="42" t="n">
        <v>10</v>
      </c>
      <c r="G365" s="32" t="n">
        <f aca="false">290*1.05</f>
        <v>304.5</v>
      </c>
      <c r="H365" s="32" t="n">
        <f aca="false">F365*G365</f>
        <v>3045</v>
      </c>
      <c r="I365" s="33"/>
      <c r="J365" s="33"/>
    </row>
    <row r="366" customFormat="false" ht="15" hidden="false" customHeight="false" outlineLevel="0" collapsed="false">
      <c r="A366" s="29" t="n">
        <v>365</v>
      </c>
      <c r="B366" s="35" t="s">
        <v>316</v>
      </c>
      <c r="C366" s="35" t="s">
        <v>88</v>
      </c>
      <c r="D366" s="41" t="s">
        <v>398</v>
      </c>
      <c r="E366" s="31" t="s">
        <v>90</v>
      </c>
      <c r="F366" s="42" t="n">
        <v>18</v>
      </c>
      <c r="G366" s="32" t="n">
        <f aca="false">290*1.05</f>
        <v>304.5</v>
      </c>
      <c r="H366" s="32" t="n">
        <f aca="false">F366*G366</f>
        <v>5481</v>
      </c>
      <c r="I366" s="33"/>
      <c r="J366" s="33"/>
    </row>
    <row r="367" customFormat="false" ht="15" hidden="false" customHeight="false" outlineLevel="0" collapsed="false">
      <c r="A367" s="29" t="n">
        <v>366</v>
      </c>
      <c r="B367" s="35" t="s">
        <v>316</v>
      </c>
      <c r="C367" s="35" t="s">
        <v>88</v>
      </c>
      <c r="D367" s="41" t="s">
        <v>399</v>
      </c>
      <c r="E367" s="31" t="s">
        <v>90</v>
      </c>
      <c r="F367" s="42" t="n">
        <v>16</v>
      </c>
      <c r="G367" s="32" t="n">
        <f aca="false">290*1.05</f>
        <v>304.5</v>
      </c>
      <c r="H367" s="32" t="n">
        <f aca="false">F367*G367</f>
        <v>4872</v>
      </c>
      <c r="I367" s="33"/>
      <c r="J367" s="33"/>
    </row>
    <row r="368" customFormat="false" ht="15" hidden="false" customHeight="false" outlineLevel="0" collapsed="false">
      <c r="A368" s="29" t="n">
        <v>367</v>
      </c>
      <c r="B368" s="35" t="s">
        <v>316</v>
      </c>
      <c r="C368" s="35" t="s">
        <v>88</v>
      </c>
      <c r="D368" s="41" t="s">
        <v>400</v>
      </c>
      <c r="E368" s="31" t="s">
        <v>90</v>
      </c>
      <c r="F368" s="42" t="n">
        <v>11.28</v>
      </c>
      <c r="G368" s="32" t="n">
        <f aca="false">290*1.05</f>
        <v>304.5</v>
      </c>
      <c r="H368" s="32" t="n">
        <f aca="false">F368*G368</f>
        <v>3434.76</v>
      </c>
      <c r="I368" s="33"/>
      <c r="J368" s="33"/>
    </row>
    <row r="369" customFormat="false" ht="15" hidden="false" customHeight="false" outlineLevel="0" collapsed="false">
      <c r="A369" s="29" t="n">
        <v>368</v>
      </c>
      <c r="B369" s="35" t="s">
        <v>316</v>
      </c>
      <c r="C369" s="35" t="s">
        <v>88</v>
      </c>
      <c r="D369" s="41" t="s">
        <v>401</v>
      </c>
      <c r="E369" s="31" t="s">
        <v>90</v>
      </c>
      <c r="F369" s="42" t="n">
        <v>16.15</v>
      </c>
      <c r="G369" s="32" t="n">
        <f aca="false">290*1.05</f>
        <v>304.5</v>
      </c>
      <c r="H369" s="32" t="n">
        <f aca="false">F369*G369</f>
        <v>4917.675</v>
      </c>
      <c r="I369" s="33"/>
      <c r="J369" s="33"/>
    </row>
    <row r="370" customFormat="false" ht="15" hidden="false" customHeight="false" outlineLevel="0" collapsed="false">
      <c r="A370" s="29" t="n">
        <v>369</v>
      </c>
      <c r="B370" s="35" t="s">
        <v>316</v>
      </c>
      <c r="C370" s="35" t="s">
        <v>88</v>
      </c>
      <c r="D370" s="41" t="s">
        <v>402</v>
      </c>
      <c r="E370" s="31" t="s">
        <v>90</v>
      </c>
      <c r="F370" s="42" t="n">
        <v>17</v>
      </c>
      <c r="G370" s="32" t="n">
        <f aca="false">290*1.05</f>
        <v>304.5</v>
      </c>
      <c r="H370" s="32" t="n">
        <f aca="false">F370*G370</f>
        <v>5176.5</v>
      </c>
      <c r="I370" s="33"/>
      <c r="J370" s="33"/>
    </row>
    <row r="371" customFormat="false" ht="15" hidden="false" customHeight="false" outlineLevel="0" collapsed="false">
      <c r="A371" s="29" t="n">
        <v>370</v>
      </c>
      <c r="B371" s="35" t="s">
        <v>316</v>
      </c>
      <c r="C371" s="35" t="s">
        <v>88</v>
      </c>
      <c r="D371" s="41" t="s">
        <v>403</v>
      </c>
      <c r="E371" s="31" t="s">
        <v>90</v>
      </c>
      <c r="F371" s="42" t="n">
        <v>15.23</v>
      </c>
      <c r="G371" s="32" t="n">
        <f aca="false">290*1.05</f>
        <v>304.5</v>
      </c>
      <c r="H371" s="32" t="n">
        <f aca="false">F371*G371</f>
        <v>4637.535</v>
      </c>
      <c r="I371" s="33"/>
      <c r="J371" s="33"/>
    </row>
    <row r="372" customFormat="false" ht="15" hidden="false" customHeight="false" outlineLevel="0" collapsed="false">
      <c r="A372" s="29" t="n">
        <v>371</v>
      </c>
      <c r="B372" s="35" t="s">
        <v>316</v>
      </c>
      <c r="C372" s="35" t="s">
        <v>88</v>
      </c>
      <c r="D372" s="41" t="s">
        <v>404</v>
      </c>
      <c r="E372" s="31" t="s">
        <v>90</v>
      </c>
      <c r="F372" s="42" t="n">
        <v>9</v>
      </c>
      <c r="G372" s="32" t="n">
        <f aca="false">305*1.05</f>
        <v>320.25</v>
      </c>
      <c r="H372" s="32" t="n">
        <f aca="false">F372*G372</f>
        <v>2882.25</v>
      </c>
      <c r="I372" s="33"/>
      <c r="J372" s="33"/>
    </row>
    <row r="373" customFormat="false" ht="15" hidden="false" customHeight="false" outlineLevel="0" collapsed="false">
      <c r="A373" s="29" t="n">
        <v>372</v>
      </c>
      <c r="B373" s="35" t="s">
        <v>316</v>
      </c>
      <c r="C373" s="35" t="s">
        <v>88</v>
      </c>
      <c r="D373" s="41" t="s">
        <v>405</v>
      </c>
      <c r="E373" s="31" t="s">
        <v>90</v>
      </c>
      <c r="F373" s="42" t="n">
        <v>16.14</v>
      </c>
      <c r="G373" s="32" t="n">
        <f aca="false">305*1.05</f>
        <v>320.25</v>
      </c>
      <c r="H373" s="32" t="n">
        <f aca="false">F373*G373</f>
        <v>5168.835</v>
      </c>
      <c r="I373" s="33"/>
      <c r="J373" s="33"/>
    </row>
    <row r="374" customFormat="false" ht="15" hidden="false" customHeight="false" outlineLevel="0" collapsed="false">
      <c r="A374" s="29" t="n">
        <v>373</v>
      </c>
      <c r="B374" s="35" t="s">
        <v>316</v>
      </c>
      <c r="C374" s="35" t="s">
        <v>88</v>
      </c>
      <c r="D374" s="41" t="s">
        <v>406</v>
      </c>
      <c r="E374" s="31" t="s">
        <v>90</v>
      </c>
      <c r="F374" s="42" t="n">
        <v>16</v>
      </c>
      <c r="G374" s="32" t="n">
        <f aca="false">305*1.05</f>
        <v>320.25</v>
      </c>
      <c r="H374" s="32" t="n">
        <f aca="false">F374*G374</f>
        <v>5124</v>
      </c>
      <c r="I374" s="33"/>
      <c r="J374" s="33"/>
    </row>
    <row r="375" customFormat="false" ht="15" hidden="false" customHeight="false" outlineLevel="0" collapsed="false">
      <c r="A375" s="29" t="n">
        <v>374</v>
      </c>
      <c r="B375" s="35" t="s">
        <v>316</v>
      </c>
      <c r="C375" s="35" t="s">
        <v>88</v>
      </c>
      <c r="D375" s="41" t="s">
        <v>407</v>
      </c>
      <c r="E375" s="31" t="s">
        <v>90</v>
      </c>
      <c r="F375" s="42" t="n">
        <v>11.35</v>
      </c>
      <c r="G375" s="32" t="n">
        <f aca="false">305*1.05</f>
        <v>320.25</v>
      </c>
      <c r="H375" s="32" t="n">
        <f aca="false">F375*G375</f>
        <v>3634.8375</v>
      </c>
      <c r="I375" s="33"/>
      <c r="J375" s="33"/>
    </row>
    <row r="376" customFormat="false" ht="15" hidden="false" customHeight="false" outlineLevel="0" collapsed="false">
      <c r="A376" s="29" t="n">
        <v>375</v>
      </c>
      <c r="B376" s="35" t="s">
        <v>316</v>
      </c>
      <c r="C376" s="35" t="s">
        <v>88</v>
      </c>
      <c r="D376" s="41" t="s">
        <v>408</v>
      </c>
      <c r="E376" s="31" t="s">
        <v>90</v>
      </c>
      <c r="F376" s="42" t="n">
        <v>8</v>
      </c>
      <c r="G376" s="32" t="n">
        <f aca="false">305*1.05</f>
        <v>320.25</v>
      </c>
      <c r="H376" s="32" t="n">
        <f aca="false">F376*G376</f>
        <v>2562</v>
      </c>
      <c r="I376" s="33"/>
      <c r="J376" s="33"/>
    </row>
    <row r="377" customFormat="false" ht="15" hidden="false" customHeight="false" outlineLevel="0" collapsed="false">
      <c r="A377" s="29" t="n">
        <v>376</v>
      </c>
      <c r="B377" s="35" t="s">
        <v>316</v>
      </c>
      <c r="C377" s="35" t="s">
        <v>88</v>
      </c>
      <c r="D377" s="41" t="s">
        <v>409</v>
      </c>
      <c r="E377" s="31" t="s">
        <v>90</v>
      </c>
      <c r="F377" s="42" t="n">
        <v>5.75</v>
      </c>
      <c r="G377" s="32" t="n">
        <f aca="false">305*1.05</f>
        <v>320.25</v>
      </c>
      <c r="H377" s="32" t="n">
        <f aca="false">F377*G377</f>
        <v>1841.4375</v>
      </c>
      <c r="I377" s="33"/>
      <c r="J377" s="33"/>
    </row>
    <row r="378" customFormat="false" ht="15" hidden="false" customHeight="false" outlineLevel="0" collapsed="false">
      <c r="A378" s="29" t="n">
        <v>377</v>
      </c>
      <c r="B378" s="35" t="s">
        <v>316</v>
      </c>
      <c r="C378" s="35" t="s">
        <v>88</v>
      </c>
      <c r="D378" s="41" t="s">
        <v>410</v>
      </c>
      <c r="E378" s="31" t="s">
        <v>90</v>
      </c>
      <c r="F378" s="42" t="n">
        <v>5.75</v>
      </c>
      <c r="G378" s="32" t="n">
        <f aca="false">305*1.05</f>
        <v>320.25</v>
      </c>
      <c r="H378" s="32" t="n">
        <f aca="false">F378*G378</f>
        <v>1841.4375</v>
      </c>
      <c r="I378" s="33"/>
      <c r="J378" s="33"/>
    </row>
    <row r="379" customFormat="false" ht="15" hidden="false" customHeight="false" outlineLevel="0" collapsed="false">
      <c r="A379" s="29" t="n">
        <v>378</v>
      </c>
      <c r="B379" s="35" t="s">
        <v>316</v>
      </c>
      <c r="C379" s="35" t="s">
        <v>88</v>
      </c>
      <c r="D379" s="41" t="s">
        <v>411</v>
      </c>
      <c r="E379" s="31" t="s">
        <v>90</v>
      </c>
      <c r="F379" s="42" t="n">
        <v>30</v>
      </c>
      <c r="G379" s="32" t="n">
        <f aca="false">305*1.05</f>
        <v>320.25</v>
      </c>
      <c r="H379" s="32" t="n">
        <f aca="false">F379*G379</f>
        <v>9607.5</v>
      </c>
      <c r="I379" s="33"/>
      <c r="J379" s="33"/>
    </row>
    <row r="380" customFormat="false" ht="15" hidden="false" customHeight="false" outlineLevel="0" collapsed="false">
      <c r="A380" s="29" t="n">
        <v>379</v>
      </c>
      <c r="B380" s="35" t="s">
        <v>316</v>
      </c>
      <c r="C380" s="35" t="s">
        <v>88</v>
      </c>
      <c r="D380" s="41" t="s">
        <v>412</v>
      </c>
      <c r="E380" s="31" t="s">
        <v>90</v>
      </c>
      <c r="F380" s="42" t="n">
        <v>15.2</v>
      </c>
      <c r="G380" s="32" t="n">
        <f aca="false">305*1.05</f>
        <v>320.25</v>
      </c>
      <c r="H380" s="32" t="n">
        <f aca="false">F380*G380</f>
        <v>4867.8</v>
      </c>
      <c r="I380" s="33"/>
      <c r="J380" s="33"/>
    </row>
    <row r="381" customFormat="false" ht="15" hidden="false" customHeight="false" outlineLevel="0" collapsed="false">
      <c r="A381" s="29" t="n">
        <v>380</v>
      </c>
      <c r="B381" s="35" t="s">
        <v>316</v>
      </c>
      <c r="C381" s="35" t="s">
        <v>88</v>
      </c>
      <c r="D381" s="41" t="s">
        <v>413</v>
      </c>
      <c r="E381" s="31" t="s">
        <v>90</v>
      </c>
      <c r="F381" s="42" t="n">
        <v>15</v>
      </c>
      <c r="G381" s="32" t="n">
        <f aca="false">297*1.05</f>
        <v>311.85</v>
      </c>
      <c r="H381" s="32" t="n">
        <f aca="false">F381*G381</f>
        <v>4677.75</v>
      </c>
      <c r="I381" s="33"/>
      <c r="J381" s="33"/>
    </row>
    <row r="382" customFormat="false" ht="15" hidden="false" customHeight="false" outlineLevel="0" collapsed="false">
      <c r="A382" s="29" t="n">
        <v>381</v>
      </c>
      <c r="B382" s="35" t="s">
        <v>316</v>
      </c>
      <c r="C382" s="35" t="s">
        <v>88</v>
      </c>
      <c r="D382" s="41" t="s">
        <v>414</v>
      </c>
      <c r="E382" s="31" t="s">
        <v>90</v>
      </c>
      <c r="F382" s="42" t="n">
        <v>14</v>
      </c>
      <c r="G382" s="32" t="n">
        <f aca="false">297*1.05</f>
        <v>311.85</v>
      </c>
      <c r="H382" s="32" t="n">
        <f aca="false">F382*G382</f>
        <v>4365.9</v>
      </c>
      <c r="I382" s="33"/>
      <c r="J382" s="33"/>
    </row>
    <row r="383" customFormat="false" ht="15" hidden="false" customHeight="false" outlineLevel="0" collapsed="false">
      <c r="A383" s="29" t="n">
        <v>382</v>
      </c>
      <c r="B383" s="35" t="s">
        <v>316</v>
      </c>
      <c r="C383" s="35" t="s">
        <v>88</v>
      </c>
      <c r="D383" s="41" t="s">
        <v>415</v>
      </c>
      <c r="E383" s="31" t="s">
        <v>90</v>
      </c>
      <c r="F383" s="42" t="n">
        <v>16</v>
      </c>
      <c r="G383" s="32" t="n">
        <f aca="false">297*1.05</f>
        <v>311.85</v>
      </c>
      <c r="H383" s="32" t="n">
        <f aca="false">F383*G383</f>
        <v>4989.6</v>
      </c>
      <c r="I383" s="33"/>
      <c r="J383" s="33"/>
    </row>
    <row r="384" customFormat="false" ht="15" hidden="false" customHeight="false" outlineLevel="0" collapsed="false">
      <c r="A384" s="29" t="n">
        <v>383</v>
      </c>
      <c r="B384" s="35" t="s">
        <v>316</v>
      </c>
      <c r="C384" s="35" t="s">
        <v>88</v>
      </c>
      <c r="D384" s="41" t="s">
        <v>416</v>
      </c>
      <c r="E384" s="31" t="s">
        <v>90</v>
      </c>
      <c r="F384" s="42" t="n">
        <v>12</v>
      </c>
      <c r="G384" s="32" t="n">
        <f aca="false">297*1.05</f>
        <v>311.85</v>
      </c>
      <c r="H384" s="32" t="n">
        <f aca="false">F384*G384</f>
        <v>3742.2</v>
      </c>
      <c r="I384" s="33"/>
      <c r="J384" s="33"/>
    </row>
    <row r="385" customFormat="false" ht="15" hidden="false" customHeight="false" outlineLevel="0" collapsed="false">
      <c r="A385" s="29" t="n">
        <v>384</v>
      </c>
      <c r="B385" s="35" t="s">
        <v>316</v>
      </c>
      <c r="C385" s="35" t="s">
        <v>88</v>
      </c>
      <c r="D385" s="41" t="s">
        <v>417</v>
      </c>
      <c r="E385" s="31" t="s">
        <v>90</v>
      </c>
      <c r="F385" s="42" t="n">
        <v>15.3</v>
      </c>
      <c r="G385" s="32" t="n">
        <f aca="false">297*1.05</f>
        <v>311.85</v>
      </c>
      <c r="H385" s="32" t="n">
        <f aca="false">F385*G385</f>
        <v>4771.305</v>
      </c>
      <c r="I385" s="33"/>
      <c r="J385" s="33"/>
    </row>
    <row r="386" customFormat="false" ht="15" hidden="false" customHeight="false" outlineLevel="0" collapsed="false">
      <c r="A386" s="29" t="n">
        <v>385</v>
      </c>
      <c r="B386" s="35" t="s">
        <v>316</v>
      </c>
      <c r="C386" s="35" t="s">
        <v>88</v>
      </c>
      <c r="D386" s="41" t="s">
        <v>418</v>
      </c>
      <c r="E386" s="31" t="s">
        <v>90</v>
      </c>
      <c r="F386" s="42" t="n">
        <v>22</v>
      </c>
      <c r="G386" s="32" t="n">
        <f aca="false">297*1.05</f>
        <v>311.85</v>
      </c>
      <c r="H386" s="32" t="n">
        <f aca="false">F386*G386</f>
        <v>6860.7</v>
      </c>
      <c r="I386" s="33"/>
      <c r="J386" s="33"/>
    </row>
    <row r="387" customFormat="false" ht="15" hidden="false" customHeight="false" outlineLevel="0" collapsed="false">
      <c r="A387" s="29" t="n">
        <v>386</v>
      </c>
      <c r="B387" s="35" t="s">
        <v>316</v>
      </c>
      <c r="C387" s="35" t="s">
        <v>88</v>
      </c>
      <c r="D387" s="41" t="s">
        <v>419</v>
      </c>
      <c r="E387" s="31" t="s">
        <v>90</v>
      </c>
      <c r="F387" s="42" t="n">
        <v>15.2</v>
      </c>
      <c r="G387" s="32" t="n">
        <f aca="false">297*1.05</f>
        <v>311.85</v>
      </c>
      <c r="H387" s="32" t="n">
        <f aca="false">F387*G387</f>
        <v>4740.12</v>
      </c>
      <c r="I387" s="33"/>
      <c r="J387" s="33"/>
    </row>
    <row r="388" customFormat="false" ht="15" hidden="false" customHeight="false" outlineLevel="0" collapsed="false">
      <c r="A388" s="29" t="n">
        <v>387</v>
      </c>
      <c r="B388" s="35" t="s">
        <v>316</v>
      </c>
      <c r="C388" s="35" t="s">
        <v>88</v>
      </c>
      <c r="D388" s="41" t="s">
        <v>420</v>
      </c>
      <c r="E388" s="31" t="s">
        <v>90</v>
      </c>
      <c r="F388" s="42" t="n">
        <v>5.26</v>
      </c>
      <c r="G388" s="32" t="n">
        <f aca="false">297*1.05</f>
        <v>311.85</v>
      </c>
      <c r="H388" s="32" t="n">
        <f aca="false">F388*G388</f>
        <v>1640.331</v>
      </c>
      <c r="I388" s="33"/>
      <c r="J388" s="33"/>
    </row>
    <row r="389" customFormat="false" ht="15" hidden="false" customHeight="false" outlineLevel="0" collapsed="false">
      <c r="A389" s="29" t="n">
        <v>388</v>
      </c>
      <c r="B389" s="35" t="s">
        <v>316</v>
      </c>
      <c r="C389" s="35" t="s">
        <v>88</v>
      </c>
      <c r="D389" s="41" t="s">
        <v>421</v>
      </c>
      <c r="E389" s="31" t="s">
        <v>90</v>
      </c>
      <c r="F389" s="42" t="n">
        <v>6.14</v>
      </c>
      <c r="G389" s="32" t="n">
        <f aca="false">297*1.05</f>
        <v>311.85</v>
      </c>
      <c r="H389" s="32" t="n">
        <f aca="false">F389*G389</f>
        <v>1914.759</v>
      </c>
      <c r="I389" s="33"/>
      <c r="J389" s="33"/>
    </row>
    <row r="390" customFormat="false" ht="15" hidden="false" customHeight="false" outlineLevel="0" collapsed="false">
      <c r="A390" s="29" t="n">
        <v>389</v>
      </c>
      <c r="B390" s="35" t="s">
        <v>316</v>
      </c>
      <c r="C390" s="35" t="s">
        <v>88</v>
      </c>
      <c r="D390" s="41" t="s">
        <v>422</v>
      </c>
      <c r="E390" s="31" t="s">
        <v>90</v>
      </c>
      <c r="F390" s="42" t="n">
        <v>25.7</v>
      </c>
      <c r="G390" s="32" t="n">
        <f aca="false">297*1.05</f>
        <v>311.85</v>
      </c>
      <c r="H390" s="32" t="n">
        <f aca="false">F390*G390</f>
        <v>8014.545</v>
      </c>
      <c r="I390" s="33"/>
      <c r="J390" s="33"/>
    </row>
    <row r="391" customFormat="false" ht="15" hidden="false" customHeight="false" outlineLevel="0" collapsed="false">
      <c r="A391" s="29" t="n">
        <v>390</v>
      </c>
      <c r="B391" s="35" t="s">
        <v>316</v>
      </c>
      <c r="C391" s="35" t="s">
        <v>88</v>
      </c>
      <c r="D391" s="41" t="s">
        <v>423</v>
      </c>
      <c r="E391" s="31" t="s">
        <v>90</v>
      </c>
      <c r="F391" s="42" t="n">
        <v>8</v>
      </c>
      <c r="G391" s="32" t="n">
        <f aca="false">297*1.05</f>
        <v>311.85</v>
      </c>
      <c r="H391" s="32" t="n">
        <f aca="false">F391*G391</f>
        <v>2494.8</v>
      </c>
      <c r="I391" s="33"/>
      <c r="J391" s="33"/>
    </row>
    <row r="392" customFormat="false" ht="15" hidden="false" customHeight="false" outlineLevel="0" collapsed="false">
      <c r="A392" s="29" t="n">
        <v>391</v>
      </c>
      <c r="B392" s="35" t="s">
        <v>316</v>
      </c>
      <c r="C392" s="35" t="s">
        <v>88</v>
      </c>
      <c r="D392" s="41" t="s">
        <v>424</v>
      </c>
      <c r="E392" s="31" t="s">
        <v>90</v>
      </c>
      <c r="F392" s="42" t="n">
        <v>14.2</v>
      </c>
      <c r="G392" s="32" t="n">
        <f aca="false">297*1.05</f>
        <v>311.85</v>
      </c>
      <c r="H392" s="32" t="n">
        <f aca="false">F392*G392</f>
        <v>4428.27</v>
      </c>
      <c r="I392" s="33"/>
      <c r="J392" s="33"/>
    </row>
    <row r="393" customFormat="false" ht="15" hidden="false" customHeight="false" outlineLevel="0" collapsed="false">
      <c r="A393" s="29" t="n">
        <v>392</v>
      </c>
      <c r="B393" s="35" t="s">
        <v>316</v>
      </c>
      <c r="C393" s="35" t="s">
        <v>88</v>
      </c>
      <c r="D393" s="41" t="s">
        <v>425</v>
      </c>
      <c r="E393" s="31" t="s">
        <v>90</v>
      </c>
      <c r="F393" s="42" t="n">
        <v>14</v>
      </c>
      <c r="G393" s="32" t="n">
        <f aca="false">297*1.05</f>
        <v>311.85</v>
      </c>
      <c r="H393" s="32" t="n">
        <f aca="false">F393*G393</f>
        <v>4365.9</v>
      </c>
      <c r="I393" s="33"/>
      <c r="J393" s="33"/>
    </row>
    <row r="394" customFormat="false" ht="15" hidden="false" customHeight="false" outlineLevel="0" collapsed="false">
      <c r="A394" s="29" t="n">
        <v>393</v>
      </c>
      <c r="B394" s="35" t="s">
        <v>316</v>
      </c>
      <c r="C394" s="35" t="s">
        <v>8</v>
      </c>
      <c r="D394" s="41" t="s">
        <v>426</v>
      </c>
      <c r="E394" s="31" t="s">
        <v>176</v>
      </c>
      <c r="F394" s="42" t="n">
        <v>1</v>
      </c>
      <c r="G394" s="32" t="n">
        <f aca="false">((305*2.25)+252)*1.05</f>
        <v>985.1625</v>
      </c>
      <c r="H394" s="32" t="n">
        <f aca="false">F394*G394</f>
        <v>985.1625</v>
      </c>
      <c r="I394" s="33" t="s">
        <v>180</v>
      </c>
      <c r="J394" s="33"/>
    </row>
    <row r="395" customFormat="false" ht="15" hidden="false" customHeight="false" outlineLevel="0" collapsed="false">
      <c r="A395" s="29" t="n">
        <v>394</v>
      </c>
      <c r="B395" s="35" t="s">
        <v>20</v>
      </c>
      <c r="C395" s="35" t="s">
        <v>80</v>
      </c>
      <c r="D395" s="43" t="s">
        <v>427</v>
      </c>
      <c r="E395" s="44" t="s">
        <v>176</v>
      </c>
      <c r="F395" s="31" t="n">
        <v>6</v>
      </c>
      <c r="G395" s="32" t="n">
        <f aca="false">260*1.05</f>
        <v>273</v>
      </c>
      <c r="H395" s="32" t="n">
        <f aca="false">F395*G395</f>
        <v>1638</v>
      </c>
      <c r="I395" s="33"/>
      <c r="J395" s="33"/>
    </row>
    <row r="396" customFormat="false" ht="15" hidden="false" customHeight="false" outlineLevel="0" collapsed="false">
      <c r="A396" s="29" t="n">
        <v>395</v>
      </c>
      <c r="B396" s="35" t="s">
        <v>20</v>
      </c>
      <c r="C396" s="35" t="s">
        <v>80</v>
      </c>
      <c r="D396" s="43" t="s">
        <v>428</v>
      </c>
      <c r="E396" s="44" t="s">
        <v>176</v>
      </c>
      <c r="F396" s="31" t="n">
        <v>17</v>
      </c>
      <c r="G396" s="32" t="n">
        <f aca="false">260*1.05</f>
        <v>273</v>
      </c>
      <c r="H396" s="32" t="n">
        <f aca="false">F396*G396</f>
        <v>4641</v>
      </c>
      <c r="I396" s="33"/>
      <c r="J396" s="33"/>
    </row>
    <row r="397" customFormat="false" ht="15" hidden="false" customHeight="false" outlineLevel="0" collapsed="false">
      <c r="A397" s="29" t="n">
        <v>396</v>
      </c>
      <c r="B397" s="35" t="s">
        <v>20</v>
      </c>
      <c r="C397" s="35" t="s">
        <v>80</v>
      </c>
      <c r="D397" s="43" t="s">
        <v>429</v>
      </c>
      <c r="E397" s="44" t="s">
        <v>176</v>
      </c>
      <c r="F397" s="31" t="n">
        <v>37</v>
      </c>
      <c r="G397" s="32" t="n">
        <f aca="false">260*1.05</f>
        <v>273</v>
      </c>
      <c r="H397" s="32" t="n">
        <f aca="false">F397*G397</f>
        <v>10101</v>
      </c>
      <c r="I397" s="33"/>
      <c r="J397" s="33"/>
    </row>
    <row r="398" customFormat="false" ht="15" hidden="false" customHeight="false" outlineLevel="0" collapsed="false">
      <c r="A398" s="29" t="n">
        <v>397</v>
      </c>
      <c r="B398" s="35" t="s">
        <v>20</v>
      </c>
      <c r="C398" s="35" t="s">
        <v>80</v>
      </c>
      <c r="D398" s="43" t="s">
        <v>430</v>
      </c>
      <c r="E398" s="44" t="s">
        <v>176</v>
      </c>
      <c r="F398" s="31" t="n">
        <v>28</v>
      </c>
      <c r="G398" s="32" t="n">
        <f aca="false">260*1.05</f>
        <v>273</v>
      </c>
      <c r="H398" s="32" t="n">
        <f aca="false">F398*G398</f>
        <v>7644</v>
      </c>
      <c r="I398" s="33"/>
      <c r="J398" s="33"/>
    </row>
    <row r="399" customFormat="false" ht="15" hidden="false" customHeight="false" outlineLevel="0" collapsed="false">
      <c r="A399" s="29" t="n">
        <v>398</v>
      </c>
      <c r="B399" s="35" t="s">
        <v>20</v>
      </c>
      <c r="C399" s="35" t="s">
        <v>80</v>
      </c>
      <c r="D399" s="43" t="s">
        <v>431</v>
      </c>
      <c r="E399" s="44" t="s">
        <v>176</v>
      </c>
      <c r="F399" s="31" t="n">
        <v>9</v>
      </c>
      <c r="G399" s="32" t="n">
        <f aca="false">260*1.05</f>
        <v>273</v>
      </c>
      <c r="H399" s="32" t="n">
        <f aca="false">F399*G399</f>
        <v>2457</v>
      </c>
      <c r="I399" s="33"/>
      <c r="J399" s="33"/>
    </row>
    <row r="400" customFormat="false" ht="15" hidden="false" customHeight="false" outlineLevel="0" collapsed="false">
      <c r="A400" s="29" t="n">
        <v>399</v>
      </c>
      <c r="B400" s="35" t="s">
        <v>20</v>
      </c>
      <c r="C400" s="35" t="s">
        <v>65</v>
      </c>
      <c r="D400" s="30" t="s">
        <v>432</v>
      </c>
      <c r="E400" s="31" t="s">
        <v>176</v>
      </c>
      <c r="F400" s="31" t="n">
        <v>14</v>
      </c>
      <c r="G400" s="32" t="n">
        <f aca="false">((290*6)+200)*1.05</f>
        <v>2037</v>
      </c>
      <c r="H400" s="32" t="n">
        <f aca="false">F400*G400</f>
        <v>28518</v>
      </c>
      <c r="I400" s="33"/>
      <c r="J400" s="33"/>
    </row>
  </sheetData>
  <autoFilter ref="A1:J400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44" activeCellId="1" sqref="C133:D152 A44"/>
    </sheetView>
  </sheetViews>
  <sheetFormatPr defaultColWidth="8.8359375" defaultRowHeight="15" zeroHeight="false" outlineLevelRow="0" outlineLevelCol="0"/>
  <cols>
    <col collapsed="false" customWidth="true" hidden="false" outlineLevel="0" max="3" min="3" style="0" width="19.5"/>
    <col collapsed="false" customWidth="true" hidden="false" outlineLevel="0" max="4" min="4" style="0" width="9.66"/>
    <col collapsed="false" customWidth="true" hidden="false" outlineLevel="0" max="5" min="5" style="0" width="10.33"/>
  </cols>
  <sheetData>
    <row r="1" customFormat="false" ht="15" hidden="false" customHeight="false" outlineLevel="0" collapsed="false">
      <c r="A1" s="26" t="s">
        <v>10</v>
      </c>
      <c r="B1" s="26" t="s">
        <v>3</v>
      </c>
      <c r="C1" s="26" t="s">
        <v>11</v>
      </c>
      <c r="D1" s="26" t="s">
        <v>433</v>
      </c>
      <c r="E1" s="45" t="s">
        <v>14</v>
      </c>
      <c r="F1" s="45" t="s">
        <v>15</v>
      </c>
      <c r="G1" s="45" t="s">
        <v>16</v>
      </c>
      <c r="H1" s="45" t="s">
        <v>17</v>
      </c>
    </row>
    <row r="2" customFormat="false" ht="15" hidden="false" customHeight="false" outlineLevel="0" collapsed="false">
      <c r="A2" s="29" t="n">
        <v>1</v>
      </c>
      <c r="B2" s="29" t="s">
        <v>21</v>
      </c>
      <c r="C2" s="33" t="s">
        <v>22</v>
      </c>
      <c r="D2" s="33" t="n">
        <v>49.421</v>
      </c>
    </row>
    <row r="3" customFormat="false" ht="15" hidden="false" customHeight="false" outlineLevel="0" collapsed="false">
      <c r="A3" s="29" t="n">
        <v>2</v>
      </c>
      <c r="B3" s="29" t="s">
        <v>21</v>
      </c>
      <c r="C3" s="33" t="s">
        <v>26</v>
      </c>
      <c r="D3" s="33" t="n">
        <v>2.701</v>
      </c>
    </row>
    <row r="4" customFormat="false" ht="15" hidden="false" customHeight="false" outlineLevel="0" collapsed="false">
      <c r="A4" s="29" t="n">
        <v>3</v>
      </c>
      <c r="B4" s="29" t="s">
        <v>21</v>
      </c>
      <c r="C4" s="33" t="s">
        <v>28</v>
      </c>
      <c r="D4" s="33" t="n">
        <v>0.924</v>
      </c>
    </row>
    <row r="5" customFormat="false" ht="15" hidden="false" customHeight="false" outlineLevel="0" collapsed="false">
      <c r="A5" s="29" t="n">
        <v>4</v>
      </c>
      <c r="B5" s="29" t="s">
        <v>21</v>
      </c>
      <c r="C5" s="33" t="s">
        <v>30</v>
      </c>
      <c r="D5" s="33" t="n">
        <v>2.616</v>
      </c>
    </row>
    <row r="6" customFormat="false" ht="15" hidden="false" customHeight="false" outlineLevel="0" collapsed="false">
      <c r="A6" s="29" t="n">
        <v>5</v>
      </c>
      <c r="B6" s="29" t="s">
        <v>21</v>
      </c>
      <c r="C6" s="33" t="s">
        <v>32</v>
      </c>
      <c r="D6" s="33" t="n">
        <f aca="false">1.524+0.106+3.975</f>
        <v>5.605</v>
      </c>
    </row>
    <row r="7" customFormat="false" ht="15" hidden="false" customHeight="false" outlineLevel="0" collapsed="false">
      <c r="A7" s="29" t="n">
        <v>6</v>
      </c>
      <c r="B7" s="29" t="s">
        <v>21</v>
      </c>
      <c r="C7" s="33" t="s">
        <v>33</v>
      </c>
      <c r="D7" s="33" t="n">
        <v>1.264</v>
      </c>
    </row>
    <row r="8" customFormat="false" ht="15" hidden="false" customHeight="false" outlineLevel="0" collapsed="false">
      <c r="A8" s="29" t="n">
        <v>7</v>
      </c>
      <c r="B8" s="29" t="s">
        <v>21</v>
      </c>
      <c r="C8" s="33" t="s">
        <v>35</v>
      </c>
      <c r="D8" s="33" t="n">
        <v>0.68</v>
      </c>
    </row>
    <row r="9" customFormat="false" ht="15" hidden="false" customHeight="false" outlineLevel="0" collapsed="false">
      <c r="A9" s="29" t="n">
        <v>8</v>
      </c>
      <c r="B9" s="29" t="s">
        <v>21</v>
      </c>
      <c r="C9" s="33" t="s">
        <v>36</v>
      </c>
      <c r="D9" s="33" t="n">
        <f aca="false">0.252+1.896+0.94</f>
        <v>3.088</v>
      </c>
    </row>
    <row r="10" customFormat="false" ht="15" hidden="false" customHeight="false" outlineLevel="0" collapsed="false">
      <c r="A10" s="29" t="n">
        <v>9</v>
      </c>
      <c r="B10" s="29" t="s">
        <v>21</v>
      </c>
      <c r="C10" s="33" t="s">
        <v>37</v>
      </c>
      <c r="D10" s="33" t="n">
        <f aca="false">0.427+3.704</f>
        <v>4.131</v>
      </c>
    </row>
    <row r="11" customFormat="false" ht="15" hidden="false" customHeight="false" outlineLevel="0" collapsed="false">
      <c r="A11" s="29" t="n">
        <v>10</v>
      </c>
      <c r="B11" s="29" t="s">
        <v>21</v>
      </c>
      <c r="C11" s="33" t="s">
        <v>39</v>
      </c>
      <c r="D11" s="33" t="n">
        <f aca="false">0.119+0.756</f>
        <v>0.875</v>
      </c>
    </row>
    <row r="12" customFormat="false" ht="15" hidden="false" customHeight="false" outlineLevel="0" collapsed="false">
      <c r="A12" s="29" t="n">
        <v>11</v>
      </c>
      <c r="B12" s="29" t="s">
        <v>21</v>
      </c>
      <c r="C12" s="33" t="s">
        <v>42</v>
      </c>
      <c r="D12" s="33" t="n">
        <f aca="false">0.249</f>
        <v>0.249</v>
      </c>
    </row>
    <row r="13" customFormat="false" ht="15" hidden="false" customHeight="false" outlineLevel="0" collapsed="false">
      <c r="A13" s="29" t="n">
        <v>12</v>
      </c>
      <c r="B13" s="29" t="s">
        <v>21</v>
      </c>
      <c r="C13" s="33" t="s">
        <v>45</v>
      </c>
      <c r="D13" s="33" t="n">
        <v>0.188</v>
      </c>
    </row>
    <row r="14" customFormat="false" ht="15" hidden="false" customHeight="false" outlineLevel="0" collapsed="false">
      <c r="A14" s="29" t="n">
        <v>13</v>
      </c>
      <c r="B14" s="29" t="s">
        <v>21</v>
      </c>
      <c r="C14" s="33" t="s">
        <v>48</v>
      </c>
      <c r="D14" s="33" t="n">
        <v>0.111</v>
      </c>
    </row>
    <row r="15" customFormat="false" ht="15" hidden="false" customHeight="false" outlineLevel="0" collapsed="false">
      <c r="A15" s="29" t="n">
        <v>14</v>
      </c>
      <c r="B15" s="29" t="s">
        <v>21</v>
      </c>
      <c r="C15" s="33" t="s">
        <v>49</v>
      </c>
      <c r="D15" s="33" t="n">
        <v>0.22</v>
      </c>
    </row>
    <row r="16" customFormat="false" ht="15" hidden="false" customHeight="false" outlineLevel="0" collapsed="false">
      <c r="A16" s="29" t="n">
        <v>15</v>
      </c>
      <c r="B16" s="29" t="s">
        <v>21</v>
      </c>
      <c r="C16" s="33" t="s">
        <v>50</v>
      </c>
      <c r="D16" s="33" t="n">
        <v>0.164</v>
      </c>
    </row>
    <row r="17" customFormat="false" ht="15" hidden="false" customHeight="false" outlineLevel="0" collapsed="false">
      <c r="A17" s="29" t="n">
        <v>16</v>
      </c>
      <c r="B17" s="29" t="s">
        <v>21</v>
      </c>
      <c r="C17" s="33" t="s">
        <v>35</v>
      </c>
      <c r="D17" s="33" t="n">
        <v>0.155</v>
      </c>
    </row>
    <row r="18" customFormat="false" ht="15" hidden="false" customHeight="false" outlineLevel="0" collapsed="false">
      <c r="A18" s="29" t="n">
        <v>17</v>
      </c>
      <c r="B18" s="29" t="s">
        <v>21</v>
      </c>
      <c r="C18" s="33" t="s">
        <v>53</v>
      </c>
      <c r="D18" s="33" t="n">
        <v>0.178</v>
      </c>
    </row>
    <row r="19" customFormat="false" ht="15" hidden="false" customHeight="false" outlineLevel="0" collapsed="false">
      <c r="A19" s="29" t="n">
        <v>18</v>
      </c>
      <c r="B19" s="29" t="s">
        <v>21</v>
      </c>
      <c r="C19" s="33" t="s">
        <v>54</v>
      </c>
      <c r="D19" s="33" t="n">
        <v>0.172</v>
      </c>
    </row>
    <row r="20" customFormat="false" ht="15" hidden="false" customHeight="false" outlineLevel="0" collapsed="false">
      <c r="A20" s="29" t="n">
        <v>19</v>
      </c>
      <c r="B20" s="29" t="s">
        <v>21</v>
      </c>
      <c r="C20" s="33" t="s">
        <v>55</v>
      </c>
      <c r="D20" s="33" t="n">
        <v>0.19</v>
      </c>
    </row>
    <row r="21" customFormat="false" ht="15" hidden="false" customHeight="false" outlineLevel="0" collapsed="false">
      <c r="A21" s="29" t="n">
        <v>20</v>
      </c>
      <c r="B21" s="29" t="s">
        <v>21</v>
      </c>
      <c r="C21" s="33" t="s">
        <v>56</v>
      </c>
      <c r="D21" s="33" t="n">
        <f aca="false">0.288+0.488</f>
        <v>0.776</v>
      </c>
    </row>
    <row r="22" customFormat="false" ht="15" hidden="false" customHeight="false" outlineLevel="0" collapsed="false">
      <c r="A22" s="29" t="n">
        <v>21</v>
      </c>
      <c r="B22" s="29" t="s">
        <v>21</v>
      </c>
      <c r="C22" s="33" t="s">
        <v>57</v>
      </c>
      <c r="D22" s="33" t="n">
        <v>0.192</v>
      </c>
    </row>
    <row r="23" customFormat="false" ht="15" hidden="false" customHeight="false" outlineLevel="0" collapsed="false">
      <c r="A23" s="29" t="n">
        <v>22</v>
      </c>
      <c r="B23" s="29" t="s">
        <v>21</v>
      </c>
      <c r="C23" s="33" t="s">
        <v>58</v>
      </c>
      <c r="D23" s="33" t="n">
        <f aca="false">0.198</f>
        <v>0.198</v>
      </c>
    </row>
    <row r="24" customFormat="false" ht="15" hidden="false" customHeight="false" outlineLevel="0" collapsed="false">
      <c r="A24" s="29" t="n">
        <v>23</v>
      </c>
      <c r="B24" s="29" t="s">
        <v>21</v>
      </c>
      <c r="C24" s="33" t="s">
        <v>59</v>
      </c>
      <c r="D24" s="33" t="n">
        <f aca="false">1.092+0.185</f>
        <v>1.277</v>
      </c>
    </row>
    <row r="25" customFormat="false" ht="15" hidden="false" customHeight="false" outlineLevel="0" collapsed="false">
      <c r="A25" s="29" t="n">
        <v>24</v>
      </c>
      <c r="B25" s="29" t="s">
        <v>21</v>
      </c>
      <c r="C25" s="33" t="s">
        <v>60</v>
      </c>
      <c r="D25" s="33" t="n">
        <v>0.11</v>
      </c>
    </row>
    <row r="26" customFormat="false" ht="15" hidden="false" customHeight="false" outlineLevel="0" collapsed="false">
      <c r="A26" s="29" t="n">
        <v>25</v>
      </c>
      <c r="B26" s="29" t="s">
        <v>21</v>
      </c>
      <c r="C26" s="33" t="s">
        <v>61</v>
      </c>
      <c r="D26" s="33" t="n">
        <v>0.166</v>
      </c>
    </row>
    <row r="27" customFormat="false" ht="15" hidden="false" customHeight="false" outlineLevel="0" collapsed="false">
      <c r="A27" s="29" t="n">
        <v>26</v>
      </c>
      <c r="B27" s="29" t="s">
        <v>21</v>
      </c>
      <c r="C27" s="33" t="s">
        <v>62</v>
      </c>
      <c r="D27" s="33" t="n">
        <v>0.401</v>
      </c>
    </row>
    <row r="28" customFormat="false" ht="15" hidden="false" customHeight="false" outlineLevel="0" collapsed="false">
      <c r="A28" s="29" t="n">
        <v>27</v>
      </c>
      <c r="B28" s="29" t="s">
        <v>21</v>
      </c>
      <c r="C28" s="33" t="s">
        <v>63</v>
      </c>
      <c r="D28" s="33" t="n">
        <v>3.083</v>
      </c>
    </row>
    <row r="29" customFormat="false" ht="15" hidden="false" customHeight="false" outlineLevel="0" collapsed="false">
      <c r="A29" s="29" t="n">
        <v>28</v>
      </c>
      <c r="B29" s="29" t="s">
        <v>21</v>
      </c>
      <c r="C29" s="33" t="s">
        <v>64</v>
      </c>
      <c r="D29" s="33" t="n">
        <f aca="false">0.95+1.996</f>
        <v>2.946</v>
      </c>
    </row>
    <row r="30" customFormat="false" ht="15" hidden="false" customHeight="false" outlineLevel="0" collapsed="false">
      <c r="A30" s="29" t="n">
        <v>29</v>
      </c>
      <c r="B30" s="29" t="s">
        <v>21</v>
      </c>
      <c r="C30" s="33" t="s">
        <v>66</v>
      </c>
      <c r="D30" s="33" t="n">
        <f aca="false">4.381+2.825+1.925</f>
        <v>9.131</v>
      </c>
    </row>
    <row r="31" customFormat="false" ht="15" hidden="false" customHeight="false" outlineLevel="0" collapsed="false">
      <c r="A31" s="29" t="n">
        <v>30</v>
      </c>
      <c r="B31" s="29" t="s">
        <v>21</v>
      </c>
      <c r="C31" s="33" t="s">
        <v>68</v>
      </c>
      <c r="D31" s="33" t="n">
        <f aca="false">0.229+0.731</f>
        <v>0.96</v>
      </c>
    </row>
    <row r="32" customFormat="false" ht="15" hidden="false" customHeight="false" outlineLevel="0" collapsed="false">
      <c r="A32" s="29" t="n">
        <v>31</v>
      </c>
      <c r="B32" s="29" t="s">
        <v>21</v>
      </c>
      <c r="C32" s="33" t="s">
        <v>69</v>
      </c>
      <c r="D32" s="33" t="n">
        <f aca="false">1.499</f>
        <v>1.499</v>
      </c>
    </row>
    <row r="33" customFormat="false" ht="15" hidden="false" customHeight="false" outlineLevel="0" collapsed="false">
      <c r="A33" s="29" t="n">
        <v>32</v>
      </c>
      <c r="B33" s="29" t="s">
        <v>21</v>
      </c>
      <c r="C33" s="33" t="s">
        <v>71</v>
      </c>
      <c r="D33" s="33" t="n">
        <v>0.388</v>
      </c>
    </row>
    <row r="34" customFormat="false" ht="15" hidden="false" customHeight="false" outlineLevel="0" collapsed="false">
      <c r="A34" s="29" t="n">
        <v>33</v>
      </c>
      <c r="B34" s="29" t="s">
        <v>21</v>
      </c>
      <c r="C34" s="33" t="s">
        <v>74</v>
      </c>
      <c r="D34" s="33" t="n">
        <v>0.09</v>
      </c>
    </row>
    <row r="35" customFormat="false" ht="15" hidden="false" customHeight="false" outlineLevel="0" collapsed="false">
      <c r="A35" s="29" t="n">
        <v>34</v>
      </c>
      <c r="B35" s="29" t="s">
        <v>21</v>
      </c>
      <c r="C35" s="33" t="s">
        <v>77</v>
      </c>
      <c r="D35" s="33" t="n">
        <v>1.547</v>
      </c>
    </row>
    <row r="36" customFormat="false" ht="15" hidden="false" customHeight="false" outlineLevel="0" collapsed="false">
      <c r="A36" s="29" t="n">
        <v>35</v>
      </c>
      <c r="B36" s="29" t="s">
        <v>21</v>
      </c>
      <c r="C36" s="33" t="s">
        <v>78</v>
      </c>
      <c r="D36" s="33" t="n">
        <v>0.608</v>
      </c>
    </row>
    <row r="37" customFormat="false" ht="15" hidden="false" customHeight="false" outlineLevel="0" collapsed="false">
      <c r="A37" s="29" t="n">
        <v>36</v>
      </c>
      <c r="B37" s="29" t="s">
        <v>21</v>
      </c>
      <c r="C37" s="33" t="s">
        <v>79</v>
      </c>
      <c r="D37" s="33" t="n">
        <v>0.95</v>
      </c>
    </row>
    <row r="38" customFormat="false" ht="15" hidden="false" customHeight="false" outlineLevel="0" collapsed="false">
      <c r="A38" s="29" t="n">
        <v>37</v>
      </c>
      <c r="B38" s="29" t="s">
        <v>21</v>
      </c>
      <c r="C38" s="33" t="s">
        <v>81</v>
      </c>
      <c r="D38" s="33" t="n">
        <v>0.318</v>
      </c>
    </row>
    <row r="39" customFormat="false" ht="15" hidden="false" customHeight="false" outlineLevel="0" collapsed="false">
      <c r="A39" s="29" t="n">
        <v>38</v>
      </c>
      <c r="B39" s="29" t="s">
        <v>21</v>
      </c>
      <c r="C39" s="33" t="s">
        <v>83</v>
      </c>
      <c r="D39" s="33" t="n">
        <v>0.095</v>
      </c>
    </row>
    <row r="40" customFormat="false" ht="15" hidden="false" customHeight="false" outlineLevel="0" collapsed="false">
      <c r="A40" s="29" t="n">
        <v>39</v>
      </c>
      <c r="B40" s="29" t="s">
        <v>21</v>
      </c>
      <c r="C40" s="33" t="s">
        <v>84</v>
      </c>
      <c r="D40" s="33" t="n">
        <v>0.107</v>
      </c>
    </row>
    <row r="41" customFormat="false" ht="15" hidden="false" customHeight="false" outlineLevel="0" collapsed="false">
      <c r="A41" s="29" t="n">
        <v>40</v>
      </c>
      <c r="B41" s="29" t="s">
        <v>21</v>
      </c>
      <c r="C41" s="33" t="s">
        <v>85</v>
      </c>
      <c r="D41" s="33" t="n">
        <v>0.036</v>
      </c>
    </row>
    <row r="42" customFormat="false" ht="15" hidden="false" customHeight="false" outlineLevel="0" collapsed="false">
      <c r="A42" s="29" t="n">
        <v>41</v>
      </c>
      <c r="B42" s="29" t="s">
        <v>21</v>
      </c>
      <c r="C42" s="33" t="s">
        <v>86</v>
      </c>
      <c r="D42" s="33" t="n">
        <v>0.029</v>
      </c>
    </row>
    <row r="43" customFormat="false" ht="15" hidden="false" customHeight="false" outlineLevel="0" collapsed="false">
      <c r="A43" s="29" t="n">
        <v>42</v>
      </c>
      <c r="B43" s="29" t="s">
        <v>21</v>
      </c>
      <c r="C43" s="33" t="s">
        <v>87</v>
      </c>
      <c r="D43" s="33" t="n">
        <v>8.35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36" activeCellId="1" sqref="C133:D152 G36"/>
    </sheetView>
  </sheetViews>
  <sheetFormatPr defaultColWidth="8.8359375" defaultRowHeight="15" zeroHeight="false" outlineLevelRow="0" outlineLevelCol="0"/>
  <cols>
    <col collapsed="false" customWidth="true" hidden="false" outlineLevel="0" max="1" min="1" style="46" width="9.17"/>
    <col collapsed="false" customWidth="true" hidden="false" outlineLevel="0" max="2" min="2" style="46" width="10"/>
    <col collapsed="false" customWidth="true" hidden="false" outlineLevel="0" max="3" min="3" style="0" width="11.17"/>
    <col collapsed="false" customWidth="true" hidden="false" outlineLevel="0" max="4" min="4" style="0" width="15.33"/>
  </cols>
  <sheetData>
    <row r="1" customFormat="false" ht="15" hidden="false" customHeight="false" outlineLevel="0" collapsed="false">
      <c r="A1" s="26" t="s">
        <v>10</v>
      </c>
      <c r="B1" s="26" t="s">
        <v>434</v>
      </c>
      <c r="C1" s="26" t="s">
        <v>435</v>
      </c>
      <c r="D1" s="26" t="s">
        <v>436</v>
      </c>
      <c r="E1" s="26" t="s">
        <v>16</v>
      </c>
    </row>
    <row r="2" customFormat="false" ht="15" hidden="false" customHeight="false" outlineLevel="0" collapsed="false">
      <c r="A2" s="31" t="n">
        <v>1</v>
      </c>
      <c r="B2" s="31" t="s">
        <v>46</v>
      </c>
      <c r="C2" s="33" t="s">
        <v>89</v>
      </c>
      <c r="D2" s="33" t="n">
        <v>10.5</v>
      </c>
      <c r="E2" s="33"/>
    </row>
    <row r="3" customFormat="false" ht="15" hidden="false" customHeight="false" outlineLevel="0" collapsed="false">
      <c r="A3" s="31" t="n">
        <v>2</v>
      </c>
      <c r="B3" s="31" t="s">
        <v>46</v>
      </c>
      <c r="C3" s="33" t="s">
        <v>91</v>
      </c>
      <c r="D3" s="33" t="n">
        <v>51.67</v>
      </c>
      <c r="E3" s="33"/>
    </row>
    <row r="4" customFormat="false" ht="15" hidden="false" customHeight="false" outlineLevel="0" collapsed="false">
      <c r="A4" s="31" t="n">
        <v>3</v>
      </c>
      <c r="B4" s="31" t="s">
        <v>46</v>
      </c>
      <c r="C4" s="33" t="s">
        <v>92</v>
      </c>
      <c r="D4" s="33" t="n">
        <v>2.7</v>
      </c>
      <c r="E4" s="33"/>
    </row>
    <row r="5" customFormat="false" ht="15" hidden="false" customHeight="false" outlineLevel="0" collapsed="false">
      <c r="A5" s="31" t="n">
        <v>4</v>
      </c>
      <c r="B5" s="31" t="s">
        <v>46</v>
      </c>
      <c r="C5" s="33" t="s">
        <v>93</v>
      </c>
      <c r="D5" s="33" t="n">
        <v>28.3</v>
      </c>
      <c r="E5" s="33"/>
    </row>
    <row r="6" customFormat="false" ht="15" hidden="false" customHeight="false" outlineLevel="0" collapsed="false">
      <c r="A6" s="31" t="n">
        <v>5</v>
      </c>
      <c r="B6" s="31" t="s">
        <v>46</v>
      </c>
      <c r="C6" s="33" t="s">
        <v>94</v>
      </c>
      <c r="D6" s="33" t="n">
        <v>24.1</v>
      </c>
      <c r="E6" s="33"/>
    </row>
    <row r="7" customFormat="false" ht="15" hidden="false" customHeight="false" outlineLevel="0" collapsed="false">
      <c r="A7" s="31" t="n">
        <v>6</v>
      </c>
      <c r="B7" s="31" t="s">
        <v>46</v>
      </c>
      <c r="C7" s="33" t="s">
        <v>95</v>
      </c>
      <c r="D7" s="33" t="n">
        <v>26.3</v>
      </c>
      <c r="E7" s="33"/>
    </row>
    <row r="8" customFormat="false" ht="15" hidden="false" customHeight="false" outlineLevel="0" collapsed="false">
      <c r="A8" s="31" t="n">
        <v>7</v>
      </c>
      <c r="B8" s="31" t="s">
        <v>46</v>
      </c>
      <c r="C8" s="33" t="s">
        <v>96</v>
      </c>
      <c r="D8" s="33" t="n">
        <v>31.3</v>
      </c>
      <c r="E8" s="33"/>
    </row>
    <row r="9" customFormat="false" ht="15" hidden="false" customHeight="false" outlineLevel="0" collapsed="false">
      <c r="A9" s="31" t="n">
        <v>8</v>
      </c>
      <c r="B9" s="31" t="s">
        <v>46</v>
      </c>
      <c r="C9" s="33" t="s">
        <v>97</v>
      </c>
      <c r="D9" s="33" t="n">
        <v>31.2</v>
      </c>
      <c r="E9" s="33"/>
    </row>
    <row r="10" customFormat="false" ht="15" hidden="false" customHeight="false" outlineLevel="0" collapsed="false">
      <c r="A10" s="31" t="n">
        <v>9</v>
      </c>
      <c r="B10" s="31" t="s">
        <v>46</v>
      </c>
      <c r="C10" s="33" t="s">
        <v>98</v>
      </c>
      <c r="D10" s="33" t="n">
        <v>18</v>
      </c>
      <c r="E10" s="33"/>
    </row>
    <row r="11" customFormat="false" ht="15" hidden="false" customHeight="false" outlineLevel="0" collapsed="false">
      <c r="A11" s="31" t="n">
        <v>10</v>
      </c>
      <c r="B11" s="31" t="s">
        <v>46</v>
      </c>
      <c r="C11" s="33" t="s">
        <v>99</v>
      </c>
      <c r="D11" s="33" t="n">
        <v>31.16</v>
      </c>
      <c r="E11" s="33"/>
    </row>
    <row r="12" customFormat="false" ht="15" hidden="false" customHeight="false" outlineLevel="0" collapsed="false">
      <c r="A12" s="31" t="n">
        <v>11</v>
      </c>
      <c r="B12" s="31" t="s">
        <v>46</v>
      </c>
      <c r="C12" s="33" t="s">
        <v>100</v>
      </c>
      <c r="D12" s="33" t="n">
        <v>15.83</v>
      </c>
      <c r="E12" s="33"/>
    </row>
    <row r="13" customFormat="false" ht="15" hidden="false" customHeight="false" outlineLevel="0" collapsed="false">
      <c r="A13" s="31" t="n">
        <v>12</v>
      </c>
      <c r="B13" s="31" t="s">
        <v>46</v>
      </c>
      <c r="C13" s="33" t="s">
        <v>101</v>
      </c>
      <c r="D13" s="33" t="n">
        <v>15</v>
      </c>
      <c r="E13" s="33" t="s">
        <v>102</v>
      </c>
    </row>
    <row r="14" customFormat="false" ht="15" hidden="false" customHeight="false" outlineLevel="0" collapsed="false">
      <c r="A14" s="31" t="n">
        <v>13</v>
      </c>
      <c r="B14" s="31" t="s">
        <v>46</v>
      </c>
      <c r="C14" s="33" t="s">
        <v>103</v>
      </c>
      <c r="D14" s="33" t="n">
        <v>15</v>
      </c>
      <c r="E14" s="33" t="s">
        <v>102</v>
      </c>
    </row>
    <row r="15" customFormat="false" ht="15" hidden="false" customHeight="false" outlineLevel="0" collapsed="false">
      <c r="A15" s="31" t="n">
        <v>14</v>
      </c>
      <c r="B15" s="31" t="s">
        <v>46</v>
      </c>
      <c r="C15" s="33" t="s">
        <v>104</v>
      </c>
      <c r="D15" s="33" t="n">
        <v>15</v>
      </c>
      <c r="E15" s="33" t="s">
        <v>102</v>
      </c>
    </row>
    <row r="16" customFormat="false" ht="15" hidden="false" customHeight="false" outlineLevel="0" collapsed="false">
      <c r="A16" s="31" t="n">
        <v>15</v>
      </c>
      <c r="B16" s="31" t="s">
        <v>46</v>
      </c>
      <c r="C16" s="33" t="s">
        <v>105</v>
      </c>
      <c r="D16" s="33" t="n">
        <v>30</v>
      </c>
      <c r="E16" s="33" t="s">
        <v>102</v>
      </c>
    </row>
    <row r="17" customFormat="false" ht="15" hidden="false" customHeight="false" outlineLevel="0" collapsed="false">
      <c r="A17" s="31" t="n">
        <v>16</v>
      </c>
      <c r="B17" s="31" t="s">
        <v>46</v>
      </c>
      <c r="C17" s="33" t="s">
        <v>106</v>
      </c>
      <c r="D17" s="33" t="n">
        <v>30</v>
      </c>
      <c r="E17" s="33" t="s">
        <v>102</v>
      </c>
    </row>
    <row r="18" customFormat="false" ht="15" hidden="false" customHeight="false" outlineLevel="0" collapsed="false">
      <c r="A18" s="31" t="n">
        <v>17</v>
      </c>
      <c r="B18" s="31" t="s">
        <v>108</v>
      </c>
      <c r="C18" s="33" t="s">
        <v>107</v>
      </c>
      <c r="D18" s="33" t="n">
        <v>5.2</v>
      </c>
      <c r="E18" s="33"/>
    </row>
    <row r="19" customFormat="false" ht="15" hidden="false" customHeight="false" outlineLevel="0" collapsed="false">
      <c r="A19" s="31" t="n">
        <v>18</v>
      </c>
      <c r="B19" s="31" t="s">
        <v>108</v>
      </c>
      <c r="C19" s="33" t="s">
        <v>109</v>
      </c>
      <c r="D19" s="33" t="n">
        <v>5</v>
      </c>
      <c r="E19" s="33"/>
    </row>
    <row r="20" customFormat="false" ht="15" hidden="false" customHeight="false" outlineLevel="0" collapsed="false">
      <c r="A20" s="31" t="n">
        <v>19</v>
      </c>
      <c r="B20" s="31" t="s">
        <v>108</v>
      </c>
      <c r="C20" s="33" t="s">
        <v>110</v>
      </c>
      <c r="D20" s="33" t="n">
        <v>18</v>
      </c>
      <c r="E20" s="33"/>
    </row>
    <row r="21" customFormat="false" ht="15" hidden="false" customHeight="false" outlineLevel="0" collapsed="false">
      <c r="A21" s="31" t="n">
        <v>20</v>
      </c>
      <c r="B21" s="31" t="s">
        <v>108</v>
      </c>
      <c r="C21" s="33" t="s">
        <v>111</v>
      </c>
      <c r="D21" s="33" t="n">
        <v>5.4</v>
      </c>
      <c r="E21" s="33"/>
    </row>
    <row r="22" customFormat="false" ht="15" hidden="false" customHeight="false" outlineLevel="0" collapsed="false">
      <c r="A22" s="31" t="n">
        <v>21</v>
      </c>
      <c r="B22" s="31" t="s">
        <v>108</v>
      </c>
      <c r="C22" s="33" t="s">
        <v>112</v>
      </c>
      <c r="D22" s="33" t="n">
        <v>15.61</v>
      </c>
      <c r="E22" s="33"/>
    </row>
    <row r="23" customFormat="false" ht="15" hidden="false" customHeight="false" outlineLevel="0" collapsed="false">
      <c r="A23" s="31" t="n">
        <v>22</v>
      </c>
      <c r="B23" s="31" t="s">
        <v>108</v>
      </c>
      <c r="C23" s="33" t="s">
        <v>113</v>
      </c>
      <c r="D23" s="33" t="n">
        <v>41</v>
      </c>
      <c r="E23" s="33"/>
    </row>
    <row r="24" customFormat="false" ht="15" hidden="false" customHeight="false" outlineLevel="0" collapsed="false">
      <c r="A24" s="31" t="n">
        <v>23</v>
      </c>
      <c r="B24" s="31" t="s">
        <v>108</v>
      </c>
      <c r="C24" s="33" t="s">
        <v>114</v>
      </c>
      <c r="D24" s="33" t="n">
        <v>14</v>
      </c>
      <c r="E24" s="33"/>
    </row>
    <row r="25" customFormat="false" ht="15" hidden="false" customHeight="false" outlineLevel="0" collapsed="false">
      <c r="A25" s="31" t="n">
        <v>24</v>
      </c>
      <c r="B25" s="31" t="s">
        <v>108</v>
      </c>
      <c r="C25" s="33" t="s">
        <v>115</v>
      </c>
      <c r="D25" s="33" t="n">
        <v>6.7</v>
      </c>
      <c r="E25" s="33"/>
    </row>
    <row r="26" customFormat="false" ht="15" hidden="false" customHeight="false" outlineLevel="0" collapsed="false">
      <c r="A26" s="31" t="n">
        <v>25</v>
      </c>
      <c r="B26" s="31" t="s">
        <v>108</v>
      </c>
      <c r="C26" s="33" t="s">
        <v>116</v>
      </c>
      <c r="D26" s="33" t="n">
        <v>15</v>
      </c>
      <c r="E26" s="33"/>
    </row>
    <row r="27" customFormat="false" ht="15" hidden="false" customHeight="false" outlineLevel="0" collapsed="false">
      <c r="A27" s="31" t="n">
        <v>26</v>
      </c>
      <c r="B27" s="31" t="s">
        <v>108</v>
      </c>
      <c r="C27" s="33" t="s">
        <v>117</v>
      </c>
      <c r="D27" s="33" t="n">
        <v>42.52</v>
      </c>
      <c r="E27" s="33"/>
    </row>
    <row r="28" customFormat="false" ht="15" hidden="false" customHeight="false" outlineLevel="0" collapsed="false">
      <c r="A28" s="31" t="n">
        <v>27</v>
      </c>
      <c r="B28" s="31" t="s">
        <v>108</v>
      </c>
      <c r="C28" s="33" t="s">
        <v>118</v>
      </c>
      <c r="D28" s="33" t="n">
        <v>7</v>
      </c>
      <c r="E28" s="33"/>
    </row>
    <row r="29" customFormat="false" ht="15" hidden="false" customHeight="false" outlineLevel="0" collapsed="false">
      <c r="A29" s="31" t="n">
        <v>28</v>
      </c>
      <c r="B29" s="31" t="s">
        <v>108</v>
      </c>
      <c r="C29" s="33" t="s">
        <v>119</v>
      </c>
      <c r="D29" s="33" t="n">
        <v>59.6</v>
      </c>
      <c r="E29" s="33"/>
    </row>
    <row r="30" customFormat="false" ht="15" hidden="false" customHeight="false" outlineLevel="0" collapsed="false">
      <c r="A30" s="31" t="n">
        <v>29</v>
      </c>
      <c r="B30" s="31" t="s">
        <v>108</v>
      </c>
      <c r="C30" s="33" t="s">
        <v>120</v>
      </c>
      <c r="D30" s="33" t="n">
        <v>5</v>
      </c>
      <c r="E30" s="33"/>
    </row>
    <row r="31" customFormat="false" ht="15" hidden="false" customHeight="false" outlineLevel="0" collapsed="false">
      <c r="A31" s="31" t="n">
        <v>30</v>
      </c>
      <c r="B31" s="31" t="s">
        <v>108</v>
      </c>
      <c r="C31" s="33" t="s">
        <v>121</v>
      </c>
      <c r="D31" s="33" t="n">
        <v>15</v>
      </c>
      <c r="E31" s="33"/>
    </row>
    <row r="32" customFormat="false" ht="15" hidden="false" customHeight="false" outlineLevel="0" collapsed="false">
      <c r="A32" s="31" t="n">
        <v>31</v>
      </c>
      <c r="B32" s="31" t="s">
        <v>108</v>
      </c>
      <c r="C32" s="33" t="s">
        <v>122</v>
      </c>
      <c r="D32" s="33" t="n">
        <v>6</v>
      </c>
      <c r="E32" s="33"/>
    </row>
    <row r="33" customFormat="false" ht="15" hidden="false" customHeight="false" outlineLevel="0" collapsed="false">
      <c r="A33" s="31" t="n">
        <v>32</v>
      </c>
      <c r="B33" s="31" t="s">
        <v>108</v>
      </c>
      <c r="C33" s="33" t="s">
        <v>123</v>
      </c>
      <c r="D33" s="33" t="n">
        <v>23.66</v>
      </c>
      <c r="E33" s="33"/>
    </row>
    <row r="34" customFormat="false" ht="15" hidden="false" customHeight="false" outlineLevel="0" collapsed="false">
      <c r="A34" s="31" t="n">
        <v>33</v>
      </c>
      <c r="B34" s="31" t="s">
        <v>108</v>
      </c>
      <c r="C34" s="33" t="s">
        <v>124</v>
      </c>
      <c r="D34" s="33" t="n">
        <v>20.2</v>
      </c>
      <c r="E34" s="33"/>
    </row>
    <row r="35" customFormat="false" ht="15" hidden="false" customHeight="false" outlineLevel="0" collapsed="false">
      <c r="A35" s="31" t="n">
        <v>34</v>
      </c>
      <c r="B35" s="31" t="s">
        <v>108</v>
      </c>
      <c r="C35" s="33" t="s">
        <v>125</v>
      </c>
      <c r="D35" s="33" t="n">
        <v>26.95</v>
      </c>
      <c r="E35" s="33"/>
    </row>
    <row r="36" customFormat="false" ht="15" hidden="false" customHeight="false" outlineLevel="0" collapsed="false">
      <c r="A36" s="31" t="n">
        <v>35</v>
      </c>
      <c r="B36" s="31" t="s">
        <v>108</v>
      </c>
      <c r="C36" s="33" t="s">
        <v>126</v>
      </c>
      <c r="D36" s="33" t="n">
        <v>54.7</v>
      </c>
      <c r="E36" s="33"/>
    </row>
    <row r="37" customFormat="false" ht="15" hidden="false" customHeight="false" outlineLevel="0" collapsed="false">
      <c r="A37" s="31" t="n">
        <v>36</v>
      </c>
      <c r="B37" s="31" t="s">
        <v>108</v>
      </c>
      <c r="C37" s="33" t="s">
        <v>127</v>
      </c>
      <c r="D37" s="33" t="n">
        <v>24.36</v>
      </c>
      <c r="E37" s="33"/>
    </row>
    <row r="38" customFormat="false" ht="15" hidden="false" customHeight="false" outlineLevel="0" collapsed="false">
      <c r="A38" s="31" t="n">
        <v>37</v>
      </c>
      <c r="B38" s="31" t="s">
        <v>108</v>
      </c>
      <c r="C38" s="33" t="s">
        <v>128</v>
      </c>
      <c r="D38" s="33" t="n">
        <v>11.3</v>
      </c>
      <c r="E38" s="33"/>
    </row>
    <row r="39" customFormat="false" ht="15" hidden="false" customHeight="false" outlineLevel="0" collapsed="false">
      <c r="A39" s="31" t="n">
        <v>38</v>
      </c>
      <c r="B39" s="31" t="s">
        <v>108</v>
      </c>
      <c r="C39" s="33" t="s">
        <v>129</v>
      </c>
      <c r="D39" s="33" t="n">
        <v>7</v>
      </c>
      <c r="E39" s="33"/>
    </row>
    <row r="40" customFormat="false" ht="15" hidden="false" customHeight="false" outlineLevel="0" collapsed="false">
      <c r="A40" s="31" t="n">
        <v>39</v>
      </c>
      <c r="B40" s="31" t="s">
        <v>108</v>
      </c>
      <c r="C40" s="33" t="s">
        <v>130</v>
      </c>
      <c r="D40" s="33" t="n">
        <v>44.2</v>
      </c>
      <c r="E40" s="33"/>
    </row>
    <row r="41" customFormat="false" ht="15" hidden="false" customHeight="false" outlineLevel="0" collapsed="false">
      <c r="A41" s="31" t="n">
        <v>40</v>
      </c>
      <c r="B41" s="31" t="s">
        <v>108</v>
      </c>
      <c r="C41" s="33" t="s">
        <v>131</v>
      </c>
      <c r="D41" s="33" t="n">
        <v>14.5</v>
      </c>
      <c r="E41" s="33"/>
    </row>
    <row r="42" customFormat="false" ht="15" hidden="false" customHeight="false" outlineLevel="0" collapsed="false">
      <c r="A42" s="31" t="n">
        <v>41</v>
      </c>
      <c r="B42" s="31" t="s">
        <v>108</v>
      </c>
      <c r="C42" s="33" t="s">
        <v>132</v>
      </c>
      <c r="D42" s="33" t="n">
        <v>29.2</v>
      </c>
      <c r="E42" s="33"/>
    </row>
    <row r="43" customFormat="false" ht="15" hidden="false" customHeight="false" outlineLevel="0" collapsed="false">
      <c r="A43" s="31" t="n">
        <v>42</v>
      </c>
      <c r="B43" s="31" t="s">
        <v>108</v>
      </c>
      <c r="C43" s="33" t="s">
        <v>133</v>
      </c>
      <c r="D43" s="33" t="n">
        <v>24.4</v>
      </c>
      <c r="E43" s="33"/>
    </row>
    <row r="44" customFormat="false" ht="15" hidden="false" customHeight="false" outlineLevel="0" collapsed="false">
      <c r="A44" s="31" t="n">
        <v>43</v>
      </c>
      <c r="B44" s="31" t="s">
        <v>108</v>
      </c>
      <c r="C44" s="33" t="s">
        <v>134</v>
      </c>
      <c r="D44" s="33" t="n">
        <v>27.3</v>
      </c>
      <c r="E44" s="33"/>
    </row>
    <row r="45" customFormat="false" ht="15" hidden="false" customHeight="false" outlineLevel="0" collapsed="false">
      <c r="A45" s="31" t="n">
        <v>44</v>
      </c>
      <c r="B45" s="31" t="s">
        <v>108</v>
      </c>
      <c r="C45" s="33" t="s">
        <v>135</v>
      </c>
      <c r="D45" s="33" t="n">
        <v>44.37</v>
      </c>
      <c r="E45" s="33"/>
    </row>
    <row r="46" customFormat="false" ht="15" hidden="false" customHeight="false" outlineLevel="0" collapsed="false">
      <c r="A46" s="31" t="n">
        <v>45</v>
      </c>
      <c r="B46" s="31" t="s">
        <v>108</v>
      </c>
      <c r="C46" s="33" t="s">
        <v>136</v>
      </c>
      <c r="D46" s="33" t="n">
        <v>25.24</v>
      </c>
      <c r="E46" s="33"/>
    </row>
    <row r="47" customFormat="false" ht="15" hidden="false" customHeight="false" outlineLevel="0" collapsed="false">
      <c r="A47" s="31" t="n">
        <v>46</v>
      </c>
      <c r="B47" s="31" t="s">
        <v>108</v>
      </c>
      <c r="C47" s="33" t="s">
        <v>137</v>
      </c>
      <c r="D47" s="33" t="n">
        <v>40.52</v>
      </c>
      <c r="E47" s="33"/>
    </row>
    <row r="48" customFormat="false" ht="15" hidden="false" customHeight="false" outlineLevel="0" collapsed="false">
      <c r="A48" s="31" t="n">
        <v>47</v>
      </c>
      <c r="B48" s="31" t="s">
        <v>108</v>
      </c>
      <c r="C48" s="33" t="s">
        <v>138</v>
      </c>
      <c r="D48" s="33" t="n">
        <v>18.6</v>
      </c>
      <c r="E48" s="33"/>
    </row>
    <row r="49" customFormat="false" ht="15" hidden="false" customHeight="false" outlineLevel="0" collapsed="false">
      <c r="A49" s="31" t="n">
        <v>48</v>
      </c>
      <c r="B49" s="31" t="s">
        <v>108</v>
      </c>
      <c r="C49" s="33" t="s">
        <v>139</v>
      </c>
      <c r="D49" s="33" t="n">
        <v>29.4</v>
      </c>
      <c r="E49" s="33"/>
    </row>
    <row r="50" customFormat="false" ht="15" hidden="false" customHeight="false" outlineLevel="0" collapsed="false">
      <c r="A50" s="31" t="n">
        <v>49</v>
      </c>
      <c r="B50" s="31" t="s">
        <v>108</v>
      </c>
      <c r="C50" s="33" t="s">
        <v>140</v>
      </c>
      <c r="D50" s="33" t="n">
        <v>31.6</v>
      </c>
      <c r="E50" s="33"/>
    </row>
    <row r="51" customFormat="false" ht="15" hidden="false" customHeight="false" outlineLevel="0" collapsed="false">
      <c r="A51" s="31" t="n">
        <v>50</v>
      </c>
      <c r="B51" s="31" t="s">
        <v>108</v>
      </c>
      <c r="C51" s="33" t="s">
        <v>141</v>
      </c>
      <c r="D51" s="33" t="n">
        <v>59.92</v>
      </c>
      <c r="E51" s="33"/>
    </row>
    <row r="52" customFormat="false" ht="15" hidden="false" customHeight="false" outlineLevel="0" collapsed="false">
      <c r="A52" s="31" t="n">
        <v>51</v>
      </c>
      <c r="B52" s="31" t="s">
        <v>108</v>
      </c>
      <c r="C52" s="33" t="s">
        <v>142</v>
      </c>
      <c r="D52" s="33" t="n">
        <v>31.5</v>
      </c>
      <c r="E52" s="33"/>
    </row>
    <row r="53" customFormat="false" ht="15" hidden="false" customHeight="false" outlineLevel="0" collapsed="false">
      <c r="A53" s="31" t="n">
        <v>52</v>
      </c>
      <c r="B53" s="31" t="s">
        <v>108</v>
      </c>
      <c r="C53" s="33" t="s">
        <v>143</v>
      </c>
      <c r="D53" s="33" t="n">
        <v>42.4</v>
      </c>
      <c r="E53" s="33"/>
    </row>
    <row r="54" customFormat="false" ht="15" hidden="false" customHeight="false" outlineLevel="0" collapsed="false">
      <c r="A54" s="31" t="n">
        <v>53</v>
      </c>
      <c r="B54" s="31" t="s">
        <v>108</v>
      </c>
      <c r="C54" s="33" t="s">
        <v>144</v>
      </c>
      <c r="D54" s="33" t="n">
        <v>26</v>
      </c>
      <c r="E54" s="33"/>
    </row>
    <row r="55" customFormat="false" ht="15" hidden="false" customHeight="false" outlineLevel="0" collapsed="false">
      <c r="A55" s="31" t="n">
        <v>54</v>
      </c>
      <c r="B55" s="31" t="s">
        <v>108</v>
      </c>
      <c r="C55" s="33" t="s">
        <v>145</v>
      </c>
      <c r="D55" s="33" t="n">
        <v>23</v>
      </c>
      <c r="E55" s="33"/>
    </row>
    <row r="56" customFormat="false" ht="15" hidden="false" customHeight="false" outlineLevel="0" collapsed="false">
      <c r="A56" s="31" t="n">
        <v>55</v>
      </c>
      <c r="B56" s="31" t="s">
        <v>108</v>
      </c>
      <c r="C56" s="33" t="s">
        <v>146</v>
      </c>
      <c r="D56" s="33" t="n">
        <v>11</v>
      </c>
      <c r="E56" s="33"/>
    </row>
    <row r="57" customFormat="false" ht="15" hidden="false" customHeight="false" outlineLevel="0" collapsed="false">
      <c r="A57" s="31" t="n">
        <v>56</v>
      </c>
      <c r="B57" s="31" t="s">
        <v>108</v>
      </c>
      <c r="C57" s="33" t="s">
        <v>147</v>
      </c>
      <c r="D57" s="33" t="n">
        <v>51</v>
      </c>
      <c r="E57" s="33"/>
    </row>
    <row r="58" customFormat="false" ht="15" hidden="false" customHeight="false" outlineLevel="0" collapsed="false">
      <c r="A58" s="31" t="n">
        <v>57</v>
      </c>
      <c r="B58" s="31" t="s">
        <v>108</v>
      </c>
      <c r="C58" s="33" t="s">
        <v>148</v>
      </c>
      <c r="D58" s="33" t="n">
        <v>18.9</v>
      </c>
      <c r="E58" s="33"/>
    </row>
    <row r="59" customFormat="false" ht="15" hidden="false" customHeight="false" outlineLevel="0" collapsed="false">
      <c r="A59" s="31" t="n">
        <v>58</v>
      </c>
      <c r="B59" s="31" t="s">
        <v>108</v>
      </c>
      <c r="C59" s="33" t="s">
        <v>149</v>
      </c>
      <c r="D59" s="33" t="n">
        <f aca="false">15.86</f>
        <v>15.86</v>
      </c>
      <c r="E59" s="33"/>
    </row>
    <row r="60" customFormat="false" ht="15" hidden="false" customHeight="false" outlineLevel="0" collapsed="false">
      <c r="A60" s="31" t="n">
        <v>59</v>
      </c>
      <c r="B60" s="31" t="s">
        <v>108</v>
      </c>
      <c r="C60" s="33" t="s">
        <v>150</v>
      </c>
      <c r="D60" s="33" t="n">
        <v>27.75</v>
      </c>
      <c r="E60" s="33"/>
    </row>
    <row r="61" customFormat="false" ht="15" hidden="false" customHeight="false" outlineLevel="0" collapsed="false">
      <c r="A61" s="31" t="n">
        <v>60</v>
      </c>
      <c r="B61" s="31" t="s">
        <v>108</v>
      </c>
      <c r="C61" s="33" t="s">
        <v>151</v>
      </c>
      <c r="D61" s="33" t="n">
        <v>111.99</v>
      </c>
      <c r="E61" s="33"/>
    </row>
    <row r="62" customFormat="false" ht="15" hidden="false" customHeight="false" outlineLevel="0" collapsed="false">
      <c r="A62" s="31" t="n">
        <v>61</v>
      </c>
      <c r="B62" s="31" t="s">
        <v>108</v>
      </c>
      <c r="C62" s="33" t="s">
        <v>152</v>
      </c>
      <c r="D62" s="33" t="n">
        <v>2</v>
      </c>
      <c r="E62" s="33"/>
    </row>
    <row r="63" customFormat="false" ht="15" hidden="false" customHeight="false" outlineLevel="0" collapsed="false">
      <c r="A63" s="31" t="n">
        <v>62</v>
      </c>
      <c r="B63" s="31" t="s">
        <v>108</v>
      </c>
      <c r="C63" s="33" t="s">
        <v>153</v>
      </c>
      <c r="D63" s="33" t="n">
        <v>60.76</v>
      </c>
      <c r="E63" s="33"/>
    </row>
    <row r="64" customFormat="false" ht="15" hidden="false" customHeight="false" outlineLevel="0" collapsed="false">
      <c r="A64" s="31" t="n">
        <v>63</v>
      </c>
      <c r="B64" s="31" t="s">
        <v>108</v>
      </c>
      <c r="C64" s="33" t="s">
        <v>154</v>
      </c>
      <c r="D64" s="33" t="n">
        <v>15</v>
      </c>
      <c r="E64" s="33"/>
    </row>
    <row r="65" customFormat="false" ht="15" hidden="false" customHeight="false" outlineLevel="0" collapsed="false">
      <c r="A65" s="31" t="n">
        <v>64</v>
      </c>
      <c r="B65" s="31" t="s">
        <v>108</v>
      </c>
      <c r="C65" s="33" t="s">
        <v>155</v>
      </c>
      <c r="D65" s="33" t="n">
        <v>3.2</v>
      </c>
      <c r="E65" s="33"/>
    </row>
    <row r="66" customFormat="false" ht="15" hidden="false" customHeight="false" outlineLevel="0" collapsed="false">
      <c r="A66" s="31" t="n">
        <v>65</v>
      </c>
      <c r="B66" s="31" t="s">
        <v>108</v>
      </c>
      <c r="C66" s="33" t="s">
        <v>156</v>
      </c>
      <c r="D66" s="33" t="n">
        <v>7.9</v>
      </c>
      <c r="E66" s="33"/>
    </row>
    <row r="67" customFormat="false" ht="15" hidden="false" customHeight="false" outlineLevel="0" collapsed="false">
      <c r="A67" s="31" t="n">
        <v>66</v>
      </c>
      <c r="B67" s="31" t="s">
        <v>108</v>
      </c>
      <c r="C67" s="33" t="s">
        <v>157</v>
      </c>
      <c r="D67" s="33" t="n">
        <v>10.2</v>
      </c>
      <c r="E67" s="33"/>
    </row>
    <row r="68" customFormat="false" ht="15" hidden="false" customHeight="false" outlineLevel="0" collapsed="false">
      <c r="A68" s="31" t="n">
        <v>67</v>
      </c>
      <c r="B68" s="31" t="s">
        <v>43</v>
      </c>
      <c r="C68" s="33" t="s">
        <v>158</v>
      </c>
      <c r="D68" s="33" t="n">
        <v>50.8</v>
      </c>
      <c r="E68" s="33"/>
    </row>
    <row r="69" customFormat="false" ht="15" hidden="false" customHeight="false" outlineLevel="0" collapsed="false">
      <c r="A69" s="31" t="n">
        <v>68</v>
      </c>
      <c r="B69" s="31" t="s">
        <v>43</v>
      </c>
      <c r="C69" s="33" t="s">
        <v>159</v>
      </c>
      <c r="D69" s="33" t="n">
        <v>29.26</v>
      </c>
      <c r="E69" s="33"/>
    </row>
    <row r="70" customFormat="false" ht="15" hidden="false" customHeight="false" outlineLevel="0" collapsed="false">
      <c r="A70" s="31" t="n">
        <v>69</v>
      </c>
      <c r="B70" s="31" t="s">
        <v>43</v>
      </c>
      <c r="C70" s="33" t="s">
        <v>160</v>
      </c>
      <c r="D70" s="33" t="n">
        <v>12.43</v>
      </c>
      <c r="E70" s="33"/>
    </row>
    <row r="71" customFormat="false" ht="15" hidden="false" customHeight="false" outlineLevel="0" collapsed="false">
      <c r="A71" s="31" t="n">
        <v>70</v>
      </c>
      <c r="B71" s="31" t="s">
        <v>43</v>
      </c>
      <c r="C71" s="33" t="s">
        <v>161</v>
      </c>
      <c r="D71" s="33" t="n">
        <v>15</v>
      </c>
      <c r="E71" s="33"/>
    </row>
    <row r="72" customFormat="false" ht="15" hidden="false" customHeight="false" outlineLevel="0" collapsed="false">
      <c r="A72" s="31" t="n">
        <v>71</v>
      </c>
      <c r="B72" s="31" t="s">
        <v>43</v>
      </c>
      <c r="C72" s="33" t="s">
        <v>162</v>
      </c>
      <c r="D72" s="33" t="n">
        <v>106.28</v>
      </c>
      <c r="E72" s="33"/>
    </row>
    <row r="73" customFormat="false" ht="15" hidden="false" customHeight="false" outlineLevel="0" collapsed="false">
      <c r="A73" s="31" t="n">
        <v>72</v>
      </c>
      <c r="B73" s="31" t="s">
        <v>43</v>
      </c>
      <c r="C73" s="33" t="s">
        <v>163</v>
      </c>
      <c r="D73" s="33" t="n">
        <v>61.68</v>
      </c>
      <c r="E73" s="33"/>
    </row>
    <row r="74" customFormat="false" ht="15" hidden="false" customHeight="false" outlineLevel="0" collapsed="false">
      <c r="A74" s="31" t="n">
        <v>73</v>
      </c>
      <c r="B74" s="31" t="s">
        <v>43</v>
      </c>
      <c r="C74" s="33" t="s">
        <v>164</v>
      </c>
      <c r="D74" s="33" t="n">
        <v>27.8</v>
      </c>
      <c r="E74" s="33"/>
    </row>
    <row r="75" customFormat="false" ht="15" hidden="false" customHeight="false" outlineLevel="0" collapsed="false">
      <c r="A75" s="31" t="n">
        <v>74</v>
      </c>
      <c r="B75" s="31" t="s">
        <v>43</v>
      </c>
      <c r="C75" s="33" t="s">
        <v>165</v>
      </c>
      <c r="D75" s="33" t="n">
        <v>130.4</v>
      </c>
      <c r="E75" s="33"/>
    </row>
    <row r="76" customFormat="false" ht="15" hidden="false" customHeight="false" outlineLevel="0" collapsed="false">
      <c r="A76" s="31" t="n">
        <v>75</v>
      </c>
      <c r="B76" s="31" t="s">
        <v>43</v>
      </c>
      <c r="C76" s="33" t="s">
        <v>166</v>
      </c>
      <c r="D76" s="33" t="n">
        <v>19.76</v>
      </c>
      <c r="E76" s="33"/>
    </row>
    <row r="77" customFormat="false" ht="15" hidden="false" customHeight="false" outlineLevel="0" collapsed="false">
      <c r="A77" s="31" t="n">
        <v>76</v>
      </c>
      <c r="B77" s="31" t="s">
        <v>43</v>
      </c>
      <c r="C77" s="33" t="s">
        <v>167</v>
      </c>
      <c r="D77" s="33" t="n">
        <v>14.5</v>
      </c>
      <c r="E77" s="33"/>
    </row>
    <row r="78" customFormat="false" ht="15" hidden="false" customHeight="false" outlineLevel="0" collapsed="false">
      <c r="A78" s="31" t="n">
        <v>77</v>
      </c>
      <c r="B78" s="31" t="s">
        <v>43</v>
      </c>
      <c r="C78" s="33" t="s">
        <v>168</v>
      </c>
      <c r="D78" s="33" t="n">
        <v>29.18</v>
      </c>
      <c r="E78" s="33"/>
    </row>
    <row r="79" customFormat="false" ht="15" hidden="false" customHeight="false" outlineLevel="0" collapsed="false">
      <c r="A79" s="31" t="n">
        <v>78</v>
      </c>
      <c r="B79" s="31" t="s">
        <v>43</v>
      </c>
      <c r="C79" s="33" t="s">
        <v>169</v>
      </c>
      <c r="D79" s="33" t="n">
        <v>21.73</v>
      </c>
      <c r="E79" s="33"/>
    </row>
    <row r="80" customFormat="false" ht="15" hidden="false" customHeight="false" outlineLevel="0" collapsed="false">
      <c r="A80" s="31" t="n">
        <v>79</v>
      </c>
      <c r="B80" s="31" t="s">
        <v>43</v>
      </c>
      <c r="C80" s="33" t="s">
        <v>170</v>
      </c>
      <c r="D80" s="33" t="n">
        <v>15</v>
      </c>
      <c r="E80" s="33" t="s">
        <v>102</v>
      </c>
    </row>
    <row r="81" customFormat="false" ht="15" hidden="false" customHeight="false" outlineLevel="0" collapsed="false">
      <c r="A81" s="31" t="n">
        <v>80</v>
      </c>
      <c r="B81" s="31" t="s">
        <v>43</v>
      </c>
      <c r="C81" s="33" t="s">
        <v>171</v>
      </c>
      <c r="D81" s="33" t="n">
        <v>15</v>
      </c>
      <c r="E81" s="33" t="s">
        <v>102</v>
      </c>
    </row>
    <row r="82" customFormat="false" ht="15" hidden="false" customHeight="false" outlineLevel="0" collapsed="false">
      <c r="A82" s="31" t="n">
        <v>81</v>
      </c>
      <c r="B82" s="31" t="s">
        <v>43</v>
      </c>
      <c r="C82" s="33" t="s">
        <v>172</v>
      </c>
      <c r="D82" s="33" t="n">
        <v>15</v>
      </c>
      <c r="E82" s="33" t="s">
        <v>102</v>
      </c>
    </row>
    <row r="83" customFormat="false" ht="15" hidden="false" customHeight="false" outlineLevel="0" collapsed="false">
      <c r="A83" s="31" t="n">
        <v>82</v>
      </c>
      <c r="B83" s="31" t="s">
        <v>108</v>
      </c>
      <c r="C83" s="33" t="s">
        <v>173</v>
      </c>
      <c r="D83" s="33" t="n">
        <v>27</v>
      </c>
      <c r="E83" s="33" t="s">
        <v>174</v>
      </c>
    </row>
    <row r="84" customFormat="false" ht="15" hidden="false" customHeight="false" outlineLevel="0" collapsed="false">
      <c r="A84" s="31" t="n">
        <v>83</v>
      </c>
      <c r="B84" s="31" t="s">
        <v>108</v>
      </c>
      <c r="C84" s="33" t="s">
        <v>30</v>
      </c>
      <c r="D84" s="33" t="n">
        <v>59</v>
      </c>
      <c r="E84" s="33" t="s">
        <v>174</v>
      </c>
    </row>
  </sheetData>
  <autoFilter ref="A1:E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2" activeCellId="1" sqref="C133:D152 C2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33" t="s">
        <v>0</v>
      </c>
      <c r="B1" s="26" t="s">
        <v>437</v>
      </c>
      <c r="C1" s="26" t="s">
        <v>13</v>
      </c>
    </row>
    <row r="2" customFormat="false" ht="15" hidden="false" customHeight="false" outlineLevel="0" collapsed="false">
      <c r="A2" s="33" t="s">
        <v>20</v>
      </c>
      <c r="B2" s="33" t="s">
        <v>175</v>
      </c>
      <c r="C2" s="33" t="n">
        <f aca="false">286-49</f>
        <v>237</v>
      </c>
    </row>
    <row r="3" customFormat="false" ht="15" hidden="false" customHeight="false" outlineLevel="0" collapsed="false">
      <c r="A3" s="33" t="s">
        <v>20</v>
      </c>
      <c r="B3" s="33" t="s">
        <v>177</v>
      </c>
      <c r="C3" s="33" t="n">
        <f aca="false">33-23</f>
        <v>10</v>
      </c>
    </row>
    <row r="4" customFormat="false" ht="15" hidden="false" customHeight="false" outlineLevel="0" collapsed="false">
      <c r="A4" s="33" t="s">
        <v>20</v>
      </c>
      <c r="B4" s="33" t="s">
        <v>178</v>
      </c>
      <c r="C4" s="33" t="n">
        <f aca="false">30-4</f>
        <v>26</v>
      </c>
    </row>
    <row r="5" customFormat="false" ht="15" hidden="false" customHeight="false" outlineLevel="0" collapsed="false">
      <c r="A5" s="33" t="s">
        <v>1</v>
      </c>
      <c r="B5" s="33" t="s">
        <v>175</v>
      </c>
      <c r="C5" s="33" t="n">
        <v>49</v>
      </c>
    </row>
    <row r="6" customFormat="false" ht="15" hidden="false" customHeight="false" outlineLevel="0" collapsed="false">
      <c r="A6" s="33" t="s">
        <v>1</v>
      </c>
      <c r="B6" s="33" t="s">
        <v>177</v>
      </c>
      <c r="C6" s="33" t="n">
        <v>23</v>
      </c>
    </row>
    <row r="7" customFormat="false" ht="15" hidden="false" customHeight="false" outlineLevel="0" collapsed="false">
      <c r="A7" s="33" t="s">
        <v>1</v>
      </c>
      <c r="B7" s="33" t="s">
        <v>178</v>
      </c>
      <c r="C7" s="33" t="n">
        <v>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" activeCellId="1" sqref="C133:D152 B2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6.5"/>
  </cols>
  <sheetData>
    <row r="1" customFormat="false" ht="15" hidden="false" customHeight="false" outlineLevel="0" collapsed="false">
      <c r="A1" s="47" t="s">
        <v>10</v>
      </c>
      <c r="B1" s="48" t="s">
        <v>434</v>
      </c>
      <c r="C1" s="48" t="s">
        <v>438</v>
      </c>
      <c r="D1" s="48" t="s">
        <v>439</v>
      </c>
      <c r="E1" s="48" t="s">
        <v>440</v>
      </c>
      <c r="F1" s="48" t="s">
        <v>441</v>
      </c>
      <c r="G1" s="48" t="s">
        <v>442</v>
      </c>
      <c r="H1" s="49" t="s">
        <v>443</v>
      </c>
      <c r="I1" s="49" t="s">
        <v>13</v>
      </c>
      <c r="J1" s="50" t="s">
        <v>0</v>
      </c>
    </row>
    <row r="2" customFormat="false" ht="15" hidden="false" customHeight="false" outlineLevel="0" collapsed="false">
      <c r="A2" s="51" t="n">
        <v>1</v>
      </c>
      <c r="B2" s="37" t="s">
        <v>180</v>
      </c>
      <c r="C2" s="37" t="s">
        <v>444</v>
      </c>
      <c r="D2" s="37" t="s">
        <v>445</v>
      </c>
      <c r="E2" s="37" t="s">
        <v>179</v>
      </c>
      <c r="F2" s="52"/>
      <c r="G2" s="52"/>
      <c r="H2" s="53"/>
      <c r="I2" s="53" t="n">
        <f aca="false">SUM(F2:H2)</f>
        <v>0</v>
      </c>
      <c r="J2" s="54" t="s">
        <v>20</v>
      </c>
    </row>
    <row r="3" customFormat="false" ht="15" hidden="false" customHeight="false" outlineLevel="0" collapsed="false">
      <c r="A3" s="51" t="n">
        <v>2</v>
      </c>
      <c r="B3" s="37" t="s">
        <v>180</v>
      </c>
      <c r="C3" s="37" t="s">
        <v>444</v>
      </c>
      <c r="D3" s="37" t="s">
        <v>446</v>
      </c>
      <c r="E3" s="37" t="s">
        <v>181</v>
      </c>
      <c r="F3" s="52"/>
      <c r="G3" s="52" t="n">
        <v>1</v>
      </c>
      <c r="H3" s="53" t="n">
        <v>2</v>
      </c>
      <c r="I3" s="53" t="n">
        <f aca="false">SUM(F3:H3)</f>
        <v>3</v>
      </c>
      <c r="J3" s="54" t="s">
        <v>20</v>
      </c>
    </row>
    <row r="4" customFormat="false" ht="15" hidden="false" customHeight="false" outlineLevel="0" collapsed="false">
      <c r="A4" s="51" t="n">
        <v>3</v>
      </c>
      <c r="B4" s="37" t="s">
        <v>180</v>
      </c>
      <c r="C4" s="37" t="s">
        <v>447</v>
      </c>
      <c r="D4" s="37" t="s">
        <v>445</v>
      </c>
      <c r="E4" s="37" t="s">
        <v>182</v>
      </c>
      <c r="F4" s="52"/>
      <c r="G4" s="52"/>
      <c r="H4" s="53"/>
      <c r="I4" s="53" t="n">
        <f aca="false">SUM(F4:H4)</f>
        <v>0</v>
      </c>
      <c r="J4" s="54" t="s">
        <v>20</v>
      </c>
    </row>
    <row r="5" customFormat="false" ht="15" hidden="false" customHeight="false" outlineLevel="0" collapsed="false">
      <c r="A5" s="51" t="n">
        <v>4</v>
      </c>
      <c r="B5" s="37" t="s">
        <v>180</v>
      </c>
      <c r="C5" s="37" t="s">
        <v>447</v>
      </c>
      <c r="D5" s="37" t="s">
        <v>446</v>
      </c>
      <c r="E5" s="37" t="s">
        <v>183</v>
      </c>
      <c r="F5" s="52"/>
      <c r="G5" s="52"/>
      <c r="H5" s="53" t="n">
        <v>2</v>
      </c>
      <c r="I5" s="53" t="n">
        <f aca="false">SUM(F5:H5)</f>
        <v>2</v>
      </c>
      <c r="J5" s="54" t="s">
        <v>20</v>
      </c>
    </row>
    <row r="6" customFormat="false" ht="15" hidden="false" customHeight="false" outlineLevel="0" collapsed="false">
      <c r="A6" s="51" t="n">
        <v>5</v>
      </c>
      <c r="B6" s="37" t="s">
        <v>180</v>
      </c>
      <c r="C6" s="37" t="s">
        <v>448</v>
      </c>
      <c r="D6" s="37" t="s">
        <v>445</v>
      </c>
      <c r="E6" s="37" t="str">
        <f aca="false">CONCATENATE(Table13[[#This Row],[Cloth Code]],Table13[[#This Row],[Shirt type]])</f>
        <v>C-114HS</v>
      </c>
      <c r="F6" s="52"/>
      <c r="G6" s="52"/>
      <c r="H6" s="53"/>
      <c r="I6" s="53" t="n">
        <f aca="false">SUM(F6:H6)</f>
        <v>0</v>
      </c>
      <c r="J6" s="54" t="s">
        <v>20</v>
      </c>
    </row>
    <row r="7" customFormat="false" ht="15" hidden="false" customHeight="false" outlineLevel="0" collapsed="false">
      <c r="A7" s="51" t="n">
        <v>6</v>
      </c>
      <c r="B7" s="37" t="s">
        <v>180</v>
      </c>
      <c r="C7" s="37" t="s">
        <v>448</v>
      </c>
      <c r="D7" s="37" t="s">
        <v>446</v>
      </c>
      <c r="E7" s="37" t="str">
        <f aca="false">CONCATENATE(Table13[[#This Row],[Cloth Code]],Table13[[#This Row],[Shirt type]])</f>
        <v>C-114FS</v>
      </c>
      <c r="F7" s="52" t="n">
        <v>1</v>
      </c>
      <c r="G7" s="52" t="n">
        <v>1</v>
      </c>
      <c r="H7" s="53"/>
      <c r="I7" s="53" t="n">
        <f aca="false">SUM(F7:H7)</f>
        <v>2</v>
      </c>
      <c r="J7" s="54" t="s">
        <v>20</v>
      </c>
    </row>
    <row r="8" customFormat="false" ht="15" hidden="false" customHeight="false" outlineLevel="0" collapsed="false">
      <c r="A8" s="51" t="n">
        <v>7</v>
      </c>
      <c r="B8" s="37" t="s">
        <v>180</v>
      </c>
      <c r="C8" s="37" t="s">
        <v>449</v>
      </c>
      <c r="D8" s="37" t="s">
        <v>445</v>
      </c>
      <c r="E8" s="37" t="s">
        <v>186</v>
      </c>
      <c r="F8" s="52"/>
      <c r="G8" s="52"/>
      <c r="H8" s="53"/>
      <c r="I8" s="53" t="n">
        <f aca="false">SUM(F8:H8)</f>
        <v>0</v>
      </c>
      <c r="J8" s="54" t="s">
        <v>20</v>
      </c>
    </row>
    <row r="9" customFormat="false" ht="15" hidden="false" customHeight="false" outlineLevel="0" collapsed="false">
      <c r="A9" s="51" t="n">
        <v>8</v>
      </c>
      <c r="B9" s="37" t="s">
        <v>180</v>
      </c>
      <c r="C9" s="37" t="s">
        <v>449</v>
      </c>
      <c r="D9" s="37" t="s">
        <v>446</v>
      </c>
      <c r="E9" s="37" t="s">
        <v>187</v>
      </c>
      <c r="F9" s="52"/>
      <c r="G9" s="52"/>
      <c r="H9" s="53" t="n">
        <v>1</v>
      </c>
      <c r="I9" s="53" t="n">
        <f aca="false">SUM(F9:H9)</f>
        <v>1</v>
      </c>
      <c r="J9" s="54" t="s">
        <v>20</v>
      </c>
    </row>
    <row r="10" customFormat="false" ht="15" hidden="false" customHeight="false" outlineLevel="0" collapsed="false">
      <c r="A10" s="51" t="n">
        <v>9</v>
      </c>
      <c r="B10" s="37" t="s">
        <v>180</v>
      </c>
      <c r="C10" s="37" t="s">
        <v>450</v>
      </c>
      <c r="D10" s="37" t="s">
        <v>445</v>
      </c>
      <c r="E10" s="37" t="s">
        <v>188</v>
      </c>
      <c r="F10" s="52"/>
      <c r="G10" s="52" t="n">
        <v>1</v>
      </c>
      <c r="H10" s="53"/>
      <c r="I10" s="53" t="n">
        <f aca="false">SUM(F10:H10)</f>
        <v>1</v>
      </c>
      <c r="J10" s="54" t="s">
        <v>20</v>
      </c>
    </row>
    <row r="11" customFormat="false" ht="15" hidden="false" customHeight="false" outlineLevel="0" collapsed="false">
      <c r="A11" s="51" t="n">
        <v>10</v>
      </c>
      <c r="B11" s="37" t="s">
        <v>180</v>
      </c>
      <c r="C11" s="37" t="s">
        <v>450</v>
      </c>
      <c r="D11" s="37" t="s">
        <v>446</v>
      </c>
      <c r="E11" s="37" t="s">
        <v>189</v>
      </c>
      <c r="F11" s="52"/>
      <c r="G11" s="52" t="n">
        <v>1</v>
      </c>
      <c r="H11" s="53" t="n">
        <v>1</v>
      </c>
      <c r="I11" s="53" t="n">
        <f aca="false">SUM(F11:H11)</f>
        <v>2</v>
      </c>
      <c r="J11" s="54" t="s">
        <v>20</v>
      </c>
    </row>
    <row r="12" customFormat="false" ht="15" hidden="false" customHeight="false" outlineLevel="0" collapsed="false">
      <c r="A12" s="51" t="n">
        <v>11</v>
      </c>
      <c r="B12" s="37" t="s">
        <v>180</v>
      </c>
      <c r="C12" s="37" t="s">
        <v>451</v>
      </c>
      <c r="D12" s="37" t="s">
        <v>445</v>
      </c>
      <c r="E12" s="37" t="s">
        <v>190</v>
      </c>
      <c r="F12" s="52"/>
      <c r="G12" s="52"/>
      <c r="H12" s="53"/>
      <c r="I12" s="53" t="n">
        <f aca="false">SUM(F12:H12)</f>
        <v>0</v>
      </c>
      <c r="J12" s="54" t="s">
        <v>20</v>
      </c>
    </row>
    <row r="13" customFormat="false" ht="15" hidden="false" customHeight="false" outlineLevel="0" collapsed="false">
      <c r="A13" s="51" t="n">
        <v>12</v>
      </c>
      <c r="B13" s="37" t="s">
        <v>180</v>
      </c>
      <c r="C13" s="37" t="s">
        <v>451</v>
      </c>
      <c r="D13" s="37" t="s">
        <v>446</v>
      </c>
      <c r="E13" s="37" t="s">
        <v>191</v>
      </c>
      <c r="F13" s="52"/>
      <c r="G13" s="52" t="n">
        <v>1</v>
      </c>
      <c r="H13" s="53" t="n">
        <v>1</v>
      </c>
      <c r="I13" s="53" t="n">
        <f aca="false">SUM(F13:H13)</f>
        <v>2</v>
      </c>
      <c r="J13" s="54" t="s">
        <v>20</v>
      </c>
    </row>
    <row r="14" customFormat="false" ht="15" hidden="false" customHeight="false" outlineLevel="0" collapsed="false">
      <c r="A14" s="51" t="n">
        <v>13</v>
      </c>
      <c r="B14" s="37" t="s">
        <v>180</v>
      </c>
      <c r="C14" s="37" t="s">
        <v>452</v>
      </c>
      <c r="D14" s="37" t="s">
        <v>446</v>
      </c>
      <c r="E14" s="37" t="s">
        <v>192</v>
      </c>
      <c r="F14" s="52"/>
      <c r="G14" s="52" t="n">
        <v>1</v>
      </c>
      <c r="H14" s="53" t="n">
        <v>2</v>
      </c>
      <c r="I14" s="53" t="n">
        <f aca="false">SUM(F14:H14)</f>
        <v>3</v>
      </c>
      <c r="J14" s="54" t="s">
        <v>20</v>
      </c>
    </row>
    <row r="15" customFormat="false" ht="15" hidden="false" customHeight="false" outlineLevel="0" collapsed="false">
      <c r="A15" s="51" t="n">
        <v>14</v>
      </c>
      <c r="B15" s="37" t="s">
        <v>180</v>
      </c>
      <c r="C15" s="37" t="s">
        <v>452</v>
      </c>
      <c r="D15" s="37" t="s">
        <v>445</v>
      </c>
      <c r="E15" s="37" t="s">
        <v>193</v>
      </c>
      <c r="F15" s="52"/>
      <c r="G15" s="52"/>
      <c r="H15" s="53"/>
      <c r="I15" s="53" t="n">
        <f aca="false">SUM(F15:H15)</f>
        <v>0</v>
      </c>
      <c r="J15" s="54" t="s">
        <v>20</v>
      </c>
    </row>
    <row r="16" customFormat="false" ht="15" hidden="false" customHeight="false" outlineLevel="0" collapsed="false">
      <c r="A16" s="51" t="n">
        <v>15</v>
      </c>
      <c r="B16" s="37" t="s">
        <v>180</v>
      </c>
      <c r="C16" s="37" t="s">
        <v>453</v>
      </c>
      <c r="D16" s="37" t="s">
        <v>445</v>
      </c>
      <c r="E16" s="37" t="s">
        <v>194</v>
      </c>
      <c r="F16" s="52" t="n">
        <v>1</v>
      </c>
      <c r="G16" s="52" t="n">
        <v>1</v>
      </c>
      <c r="H16" s="53"/>
      <c r="I16" s="53" t="n">
        <f aca="false">SUM(F16:H16)</f>
        <v>2</v>
      </c>
      <c r="J16" s="54" t="s">
        <v>20</v>
      </c>
    </row>
    <row r="17" customFormat="false" ht="15" hidden="false" customHeight="false" outlineLevel="0" collapsed="false">
      <c r="A17" s="51" t="n">
        <v>16</v>
      </c>
      <c r="B17" s="37" t="s">
        <v>180</v>
      </c>
      <c r="C17" s="37" t="s">
        <v>453</v>
      </c>
      <c r="D17" s="37" t="s">
        <v>446</v>
      </c>
      <c r="E17" s="37" t="s">
        <v>195</v>
      </c>
      <c r="F17" s="52" t="n">
        <v>1</v>
      </c>
      <c r="G17" s="52" t="n">
        <v>1</v>
      </c>
      <c r="H17" s="53" t="n">
        <v>1</v>
      </c>
      <c r="I17" s="53" t="n">
        <f aca="false">SUM(F17:H17)</f>
        <v>3</v>
      </c>
      <c r="J17" s="54" t="s">
        <v>20</v>
      </c>
    </row>
    <row r="18" customFormat="false" ht="15" hidden="false" customHeight="false" outlineLevel="0" collapsed="false">
      <c r="A18" s="51" t="n">
        <v>17</v>
      </c>
      <c r="B18" s="37" t="s">
        <v>180</v>
      </c>
      <c r="C18" s="37" t="s">
        <v>454</v>
      </c>
      <c r="D18" s="37" t="s">
        <v>445</v>
      </c>
      <c r="E18" s="37" t="s">
        <v>196</v>
      </c>
      <c r="F18" s="52"/>
      <c r="G18" s="52" t="n">
        <v>1</v>
      </c>
      <c r="H18" s="53" t="n">
        <v>1</v>
      </c>
      <c r="I18" s="53" t="n">
        <f aca="false">SUM(F18:H18)</f>
        <v>2</v>
      </c>
      <c r="J18" s="54" t="s">
        <v>20</v>
      </c>
    </row>
    <row r="19" customFormat="false" ht="15" hidden="false" customHeight="false" outlineLevel="0" collapsed="false">
      <c r="A19" s="51" t="n">
        <v>18</v>
      </c>
      <c r="B19" s="37" t="s">
        <v>180</v>
      </c>
      <c r="C19" s="37" t="s">
        <v>454</v>
      </c>
      <c r="D19" s="37" t="s">
        <v>446</v>
      </c>
      <c r="E19" s="37" t="s">
        <v>197</v>
      </c>
      <c r="F19" s="52"/>
      <c r="G19" s="52" t="n">
        <v>1</v>
      </c>
      <c r="H19" s="53" t="n">
        <v>1</v>
      </c>
      <c r="I19" s="53" t="n">
        <f aca="false">SUM(F19:H19)</f>
        <v>2</v>
      </c>
      <c r="J19" s="54" t="s">
        <v>20</v>
      </c>
    </row>
    <row r="20" customFormat="false" ht="15" hidden="false" customHeight="false" outlineLevel="0" collapsed="false">
      <c r="A20" s="51" t="n">
        <v>19</v>
      </c>
      <c r="B20" s="37" t="s">
        <v>180</v>
      </c>
      <c r="C20" s="37" t="s">
        <v>455</v>
      </c>
      <c r="D20" s="37" t="s">
        <v>445</v>
      </c>
      <c r="E20" s="37" t="s">
        <v>198</v>
      </c>
      <c r="F20" s="52"/>
      <c r="G20" s="52"/>
      <c r="H20" s="53" t="n">
        <v>1</v>
      </c>
      <c r="I20" s="53" t="n">
        <f aca="false">SUM(F20:H20)</f>
        <v>1</v>
      </c>
      <c r="J20" s="54" t="s">
        <v>20</v>
      </c>
    </row>
    <row r="21" customFormat="false" ht="15" hidden="false" customHeight="false" outlineLevel="0" collapsed="false">
      <c r="A21" s="51" t="n">
        <v>20</v>
      </c>
      <c r="B21" s="37" t="s">
        <v>180</v>
      </c>
      <c r="C21" s="37" t="s">
        <v>455</v>
      </c>
      <c r="D21" s="37" t="s">
        <v>446</v>
      </c>
      <c r="E21" s="37" t="s">
        <v>199</v>
      </c>
      <c r="F21" s="52" t="n">
        <v>1</v>
      </c>
      <c r="G21" s="52" t="n">
        <v>2</v>
      </c>
      <c r="H21" s="53" t="n">
        <v>2</v>
      </c>
      <c r="I21" s="53" t="n">
        <f aca="false">SUM(F21:H21)</f>
        <v>5</v>
      </c>
      <c r="J21" s="54" t="s">
        <v>20</v>
      </c>
    </row>
    <row r="22" customFormat="false" ht="15" hidden="false" customHeight="false" outlineLevel="0" collapsed="false">
      <c r="A22" s="51" t="n">
        <v>21</v>
      </c>
      <c r="B22" s="37" t="s">
        <v>108</v>
      </c>
      <c r="C22" s="37" t="s">
        <v>456</v>
      </c>
      <c r="D22" s="37" t="s">
        <v>445</v>
      </c>
      <c r="E22" s="37" t="s">
        <v>200</v>
      </c>
      <c r="F22" s="52"/>
      <c r="G22" s="52" t="n">
        <v>4</v>
      </c>
      <c r="H22" s="53" t="n">
        <v>1</v>
      </c>
      <c r="I22" s="53" t="n">
        <f aca="false">SUM(F22:H22)</f>
        <v>5</v>
      </c>
      <c r="J22" s="54" t="s">
        <v>20</v>
      </c>
    </row>
    <row r="23" customFormat="false" ht="15" hidden="false" customHeight="false" outlineLevel="0" collapsed="false">
      <c r="A23" s="51"/>
      <c r="B23" s="37" t="s">
        <v>108</v>
      </c>
      <c r="C23" s="37" t="s">
        <v>456</v>
      </c>
      <c r="D23" s="37" t="s">
        <v>445</v>
      </c>
      <c r="E23" s="37" t="s">
        <v>200</v>
      </c>
      <c r="F23" s="52"/>
      <c r="G23" s="52" t="n">
        <v>2</v>
      </c>
      <c r="H23" s="53" t="n">
        <v>2</v>
      </c>
      <c r="I23" s="53" t="n">
        <f aca="false">SUM(F23:H23)</f>
        <v>4</v>
      </c>
      <c r="J23" s="54" t="s">
        <v>1</v>
      </c>
    </row>
    <row r="24" customFormat="false" ht="15" hidden="false" customHeight="false" outlineLevel="0" collapsed="false">
      <c r="A24" s="51" t="n">
        <v>22</v>
      </c>
      <c r="B24" s="37" t="s">
        <v>108</v>
      </c>
      <c r="C24" s="37" t="s">
        <v>456</v>
      </c>
      <c r="D24" s="37" t="s">
        <v>446</v>
      </c>
      <c r="E24" s="37" t="s">
        <v>201</v>
      </c>
      <c r="F24" s="52"/>
      <c r="G24" s="52" t="n">
        <v>2</v>
      </c>
      <c r="H24" s="53" t="n">
        <v>4</v>
      </c>
      <c r="I24" s="53" t="n">
        <f aca="false">SUM(F24:H24)</f>
        <v>6</v>
      </c>
      <c r="J24" s="54" t="s">
        <v>20</v>
      </c>
    </row>
    <row r="25" customFormat="false" ht="15" hidden="false" customHeight="false" outlineLevel="0" collapsed="false">
      <c r="A25" s="51"/>
      <c r="B25" s="37" t="s">
        <v>108</v>
      </c>
      <c r="C25" s="37" t="s">
        <v>456</v>
      </c>
      <c r="D25" s="37" t="s">
        <v>446</v>
      </c>
      <c r="E25" s="37" t="s">
        <v>201</v>
      </c>
      <c r="F25" s="52"/>
      <c r="G25" s="52" t="n">
        <v>2</v>
      </c>
      <c r="H25" s="53" t="n">
        <v>2</v>
      </c>
      <c r="I25" s="55" t="n">
        <f aca="false">SUM(F25:H25)</f>
        <v>4</v>
      </c>
      <c r="J25" s="54" t="s">
        <v>1</v>
      </c>
    </row>
    <row r="26" customFormat="false" ht="15" hidden="false" customHeight="false" outlineLevel="0" collapsed="false">
      <c r="A26" s="51" t="n">
        <v>23</v>
      </c>
      <c r="B26" s="37" t="s">
        <v>108</v>
      </c>
      <c r="C26" s="37" t="s">
        <v>457</v>
      </c>
      <c r="D26" s="37" t="s">
        <v>445</v>
      </c>
      <c r="E26" s="37" t="s">
        <v>200</v>
      </c>
      <c r="F26" s="52"/>
      <c r="G26" s="52" t="n">
        <v>1</v>
      </c>
      <c r="H26" s="53"/>
      <c r="I26" s="53" t="n">
        <f aca="false">SUM(F26:H26)</f>
        <v>1</v>
      </c>
      <c r="J26" s="54" t="s">
        <v>20</v>
      </c>
    </row>
    <row r="27" customFormat="false" ht="15" hidden="false" customHeight="false" outlineLevel="0" collapsed="false">
      <c r="A27" s="51" t="n">
        <v>24</v>
      </c>
      <c r="B27" s="37" t="s">
        <v>108</v>
      </c>
      <c r="C27" s="37" t="s">
        <v>457</v>
      </c>
      <c r="D27" s="37" t="s">
        <v>446</v>
      </c>
      <c r="E27" s="37" t="s">
        <v>201</v>
      </c>
      <c r="F27" s="52"/>
      <c r="G27" s="52"/>
      <c r="H27" s="53" t="n">
        <v>1</v>
      </c>
      <c r="I27" s="53" t="n">
        <f aca="false">SUM(F27:H27)</f>
        <v>1</v>
      </c>
      <c r="J27" s="54" t="s">
        <v>20</v>
      </c>
    </row>
    <row r="28" customFormat="false" ht="15" hidden="false" customHeight="false" outlineLevel="0" collapsed="false">
      <c r="A28" s="51" t="n">
        <v>25</v>
      </c>
      <c r="B28" s="37" t="s">
        <v>108</v>
      </c>
      <c r="C28" s="37" t="s">
        <v>458</v>
      </c>
      <c r="D28" s="37" t="s">
        <v>445</v>
      </c>
      <c r="E28" s="37" t="s">
        <v>202</v>
      </c>
      <c r="F28" s="52"/>
      <c r="G28" s="52"/>
      <c r="H28" s="53"/>
      <c r="I28" s="53" t="n">
        <f aca="false">SUM(F28:H28)</f>
        <v>0</v>
      </c>
      <c r="J28" s="54" t="s">
        <v>20</v>
      </c>
    </row>
    <row r="29" customFormat="false" ht="15" hidden="false" customHeight="false" outlineLevel="0" collapsed="false">
      <c r="A29" s="51" t="n">
        <v>26</v>
      </c>
      <c r="B29" s="37" t="s">
        <v>108</v>
      </c>
      <c r="C29" s="37" t="s">
        <v>458</v>
      </c>
      <c r="D29" s="37" t="s">
        <v>446</v>
      </c>
      <c r="E29" s="37" t="s">
        <v>203</v>
      </c>
      <c r="F29" s="52"/>
      <c r="G29" s="52"/>
      <c r="H29" s="53" t="n">
        <v>1</v>
      </c>
      <c r="I29" s="53" t="n">
        <f aca="false">SUM(F29:H29)</f>
        <v>1</v>
      </c>
      <c r="J29" s="54" t="s">
        <v>20</v>
      </c>
    </row>
    <row r="30" customFormat="false" ht="15" hidden="false" customHeight="false" outlineLevel="0" collapsed="false">
      <c r="A30" s="51" t="n">
        <v>27</v>
      </c>
      <c r="B30" s="37" t="s">
        <v>108</v>
      </c>
      <c r="C30" s="37" t="s">
        <v>459</v>
      </c>
      <c r="D30" s="37" t="s">
        <v>445</v>
      </c>
      <c r="E30" s="37" t="s">
        <v>204</v>
      </c>
      <c r="F30" s="52"/>
      <c r="G30" s="52"/>
      <c r="H30" s="53" t="n">
        <v>2</v>
      </c>
      <c r="I30" s="53" t="n">
        <f aca="false">SUM(F30:H30)</f>
        <v>2</v>
      </c>
      <c r="J30" s="54" t="s">
        <v>20</v>
      </c>
    </row>
    <row r="31" customFormat="false" ht="15" hidden="false" customHeight="false" outlineLevel="0" collapsed="false">
      <c r="A31" s="51" t="n">
        <v>28</v>
      </c>
      <c r="B31" s="37" t="s">
        <v>108</v>
      </c>
      <c r="C31" s="37" t="s">
        <v>459</v>
      </c>
      <c r="D31" s="37" t="s">
        <v>446</v>
      </c>
      <c r="E31" s="37" t="s">
        <v>205</v>
      </c>
      <c r="F31" s="52"/>
      <c r="G31" s="52" t="n">
        <v>1</v>
      </c>
      <c r="H31" s="53"/>
      <c r="I31" s="53" t="n">
        <f aca="false">SUM(F31:H31)</f>
        <v>1</v>
      </c>
      <c r="J31" s="54" t="s">
        <v>20</v>
      </c>
    </row>
    <row r="32" customFormat="false" ht="15" hidden="false" customHeight="false" outlineLevel="0" collapsed="false">
      <c r="A32" s="51" t="n">
        <v>29</v>
      </c>
      <c r="B32" s="37" t="s">
        <v>108</v>
      </c>
      <c r="C32" s="37" t="s">
        <v>460</v>
      </c>
      <c r="D32" s="37" t="s">
        <v>445</v>
      </c>
      <c r="E32" s="37" t="s">
        <v>206</v>
      </c>
      <c r="F32" s="52"/>
      <c r="G32" s="52" t="n">
        <v>1</v>
      </c>
      <c r="H32" s="53"/>
      <c r="I32" s="53" t="n">
        <f aca="false">SUM(F32:H32)</f>
        <v>1</v>
      </c>
      <c r="J32" s="54" t="s">
        <v>20</v>
      </c>
    </row>
    <row r="33" customFormat="false" ht="15" hidden="false" customHeight="false" outlineLevel="0" collapsed="false">
      <c r="A33" s="51" t="n">
        <v>30</v>
      </c>
      <c r="B33" s="37" t="s">
        <v>108</v>
      </c>
      <c r="C33" s="37" t="s">
        <v>460</v>
      </c>
      <c r="D33" s="37" t="s">
        <v>446</v>
      </c>
      <c r="E33" s="37" t="s">
        <v>207</v>
      </c>
      <c r="F33" s="52"/>
      <c r="G33" s="52"/>
      <c r="H33" s="53" t="n">
        <v>1</v>
      </c>
      <c r="I33" s="53" t="n">
        <f aca="false">SUM(F33:H33)</f>
        <v>1</v>
      </c>
      <c r="J33" s="54" t="s">
        <v>20</v>
      </c>
    </row>
    <row r="34" customFormat="false" ht="15" hidden="false" customHeight="false" outlineLevel="0" collapsed="false">
      <c r="A34" s="51" t="n">
        <v>31</v>
      </c>
      <c r="B34" s="37" t="s">
        <v>108</v>
      </c>
      <c r="C34" s="37" t="s">
        <v>461</v>
      </c>
      <c r="D34" s="37" t="s">
        <v>445</v>
      </c>
      <c r="E34" s="37" t="s">
        <v>208</v>
      </c>
      <c r="F34" s="52" t="n">
        <v>1</v>
      </c>
      <c r="G34" s="52" t="n">
        <v>1</v>
      </c>
      <c r="H34" s="53" t="n">
        <v>1</v>
      </c>
      <c r="I34" s="53" t="n">
        <f aca="false">SUM(F34:H34)</f>
        <v>3</v>
      </c>
      <c r="J34" s="54" t="s">
        <v>20</v>
      </c>
    </row>
    <row r="35" customFormat="false" ht="15" hidden="false" customHeight="false" outlineLevel="0" collapsed="false">
      <c r="A35" s="51" t="n">
        <v>32</v>
      </c>
      <c r="B35" s="37" t="s">
        <v>108</v>
      </c>
      <c r="C35" s="37" t="s">
        <v>461</v>
      </c>
      <c r="D35" s="37" t="s">
        <v>446</v>
      </c>
      <c r="E35" s="37" t="s">
        <v>209</v>
      </c>
      <c r="F35" s="52" t="n">
        <v>1</v>
      </c>
      <c r="G35" s="52" t="n">
        <v>2</v>
      </c>
      <c r="H35" s="53" t="n">
        <v>2</v>
      </c>
      <c r="I35" s="53" t="n">
        <f aca="false">SUM(F35:H35)</f>
        <v>5</v>
      </c>
      <c r="J35" s="54" t="s">
        <v>20</v>
      </c>
    </row>
    <row r="36" customFormat="false" ht="15" hidden="false" customHeight="false" outlineLevel="0" collapsed="false">
      <c r="A36" s="51" t="n">
        <v>33</v>
      </c>
      <c r="B36" s="37" t="s">
        <v>108</v>
      </c>
      <c r="C36" s="37" t="s">
        <v>462</v>
      </c>
      <c r="D36" s="37" t="s">
        <v>445</v>
      </c>
      <c r="E36" s="37" t="str">
        <f aca="false">CONCATENATE(Table13[[#This Row],[Cloth Code]],Table13[[#This Row],[Shirt type]])</f>
        <v>P-117HS</v>
      </c>
      <c r="F36" s="52"/>
      <c r="G36" s="52"/>
      <c r="H36" s="53" t="n">
        <v>1</v>
      </c>
      <c r="I36" s="53" t="n">
        <f aca="false">SUM(F36:H36)</f>
        <v>1</v>
      </c>
      <c r="J36" s="54" t="s">
        <v>20</v>
      </c>
    </row>
    <row r="37" customFormat="false" ht="15" hidden="false" customHeight="false" outlineLevel="0" collapsed="false">
      <c r="A37" s="51" t="n">
        <v>34</v>
      </c>
      <c r="B37" s="37" t="s">
        <v>108</v>
      </c>
      <c r="C37" s="37" t="s">
        <v>462</v>
      </c>
      <c r="D37" s="37" t="s">
        <v>446</v>
      </c>
      <c r="E37" s="37" t="str">
        <f aca="false">CONCATENATE(Table13[[#This Row],[Cloth Code]],Table13[[#This Row],[Shirt type]])</f>
        <v>P-117FS</v>
      </c>
      <c r="F37" s="52"/>
      <c r="G37" s="52" t="n">
        <v>1</v>
      </c>
      <c r="H37" s="53"/>
      <c r="I37" s="53" t="n">
        <f aca="false">SUM(F37:H37)</f>
        <v>1</v>
      </c>
      <c r="J37" s="54" t="s">
        <v>20</v>
      </c>
    </row>
    <row r="38" customFormat="false" ht="15" hidden="false" customHeight="false" outlineLevel="0" collapsed="false">
      <c r="A38" s="51" t="n">
        <v>35</v>
      </c>
      <c r="B38" s="37" t="s">
        <v>108</v>
      </c>
      <c r="C38" s="37" t="s">
        <v>463</v>
      </c>
      <c r="D38" s="37" t="s">
        <v>445</v>
      </c>
      <c r="E38" s="37" t="s">
        <v>212</v>
      </c>
      <c r="F38" s="52"/>
      <c r="G38" s="52"/>
      <c r="H38" s="53"/>
      <c r="I38" s="53" t="n">
        <f aca="false">SUM(F38:H38)</f>
        <v>0</v>
      </c>
      <c r="J38" s="54" t="s">
        <v>20</v>
      </c>
    </row>
    <row r="39" customFormat="false" ht="15" hidden="false" customHeight="false" outlineLevel="0" collapsed="false">
      <c r="A39" s="51" t="n">
        <v>36</v>
      </c>
      <c r="B39" s="37" t="s">
        <v>108</v>
      </c>
      <c r="C39" s="37" t="s">
        <v>463</v>
      </c>
      <c r="D39" s="37" t="s">
        <v>446</v>
      </c>
      <c r="E39" s="37" t="s">
        <v>213</v>
      </c>
      <c r="F39" s="52"/>
      <c r="G39" s="52"/>
      <c r="H39" s="53"/>
      <c r="I39" s="53" t="n">
        <f aca="false">SUM(F39:H39)</f>
        <v>0</v>
      </c>
      <c r="J39" s="54" t="s">
        <v>20</v>
      </c>
    </row>
    <row r="40" customFormat="false" ht="15" hidden="false" customHeight="false" outlineLevel="0" collapsed="false">
      <c r="A40" s="51" t="n">
        <v>37</v>
      </c>
      <c r="B40" s="37" t="s">
        <v>108</v>
      </c>
      <c r="C40" s="37" t="s">
        <v>464</v>
      </c>
      <c r="D40" s="37" t="s">
        <v>445</v>
      </c>
      <c r="E40" s="37" t="s">
        <v>214</v>
      </c>
      <c r="F40" s="52"/>
      <c r="G40" s="52"/>
      <c r="H40" s="53" t="n">
        <v>2</v>
      </c>
      <c r="I40" s="53" t="n">
        <f aca="false">SUM(F40:H40)</f>
        <v>2</v>
      </c>
      <c r="J40" s="54" t="s">
        <v>20</v>
      </c>
    </row>
    <row r="41" customFormat="false" ht="15" hidden="false" customHeight="false" outlineLevel="0" collapsed="false">
      <c r="A41" s="51" t="n">
        <v>38</v>
      </c>
      <c r="B41" s="37" t="s">
        <v>108</v>
      </c>
      <c r="C41" s="37" t="s">
        <v>464</v>
      </c>
      <c r="D41" s="37" t="s">
        <v>446</v>
      </c>
      <c r="E41" s="37" t="s">
        <v>215</v>
      </c>
      <c r="F41" s="52"/>
      <c r="G41" s="52"/>
      <c r="H41" s="53"/>
      <c r="I41" s="53" t="n">
        <f aca="false">SUM(F41:H41)</f>
        <v>0</v>
      </c>
      <c r="J41" s="54" t="s">
        <v>20</v>
      </c>
    </row>
    <row r="42" customFormat="false" ht="15" hidden="false" customHeight="false" outlineLevel="0" collapsed="false">
      <c r="A42" s="51" t="n">
        <v>39</v>
      </c>
      <c r="B42" s="37" t="s">
        <v>108</v>
      </c>
      <c r="C42" s="37" t="s">
        <v>465</v>
      </c>
      <c r="D42" s="37" t="s">
        <v>445</v>
      </c>
      <c r="E42" s="37" t="s">
        <v>216</v>
      </c>
      <c r="F42" s="52"/>
      <c r="G42" s="52" t="n">
        <v>1</v>
      </c>
      <c r="H42" s="53" t="n">
        <v>2</v>
      </c>
      <c r="I42" s="53" t="n">
        <f aca="false">SUM(F42:H42)</f>
        <v>3</v>
      </c>
      <c r="J42" s="54" t="s">
        <v>20</v>
      </c>
    </row>
    <row r="43" customFormat="false" ht="15" hidden="false" customHeight="false" outlineLevel="0" collapsed="false">
      <c r="A43" s="51" t="n">
        <v>40</v>
      </c>
      <c r="B43" s="37" t="s">
        <v>108</v>
      </c>
      <c r="C43" s="37" t="s">
        <v>465</v>
      </c>
      <c r="D43" s="37" t="s">
        <v>446</v>
      </c>
      <c r="E43" s="37" t="s">
        <v>217</v>
      </c>
      <c r="F43" s="52"/>
      <c r="G43" s="52"/>
      <c r="H43" s="53"/>
      <c r="I43" s="53" t="n">
        <f aca="false">SUM(F43:H43)</f>
        <v>0</v>
      </c>
      <c r="J43" s="54" t="s">
        <v>20</v>
      </c>
    </row>
    <row r="44" customFormat="false" ht="15" hidden="false" customHeight="false" outlineLevel="0" collapsed="false">
      <c r="A44" s="51" t="n">
        <v>41</v>
      </c>
      <c r="B44" s="37" t="s">
        <v>108</v>
      </c>
      <c r="C44" s="37" t="s">
        <v>466</v>
      </c>
      <c r="D44" s="37" t="s">
        <v>445</v>
      </c>
      <c r="E44" s="37" t="s">
        <v>218</v>
      </c>
      <c r="F44" s="52"/>
      <c r="G44" s="52"/>
      <c r="H44" s="53"/>
      <c r="I44" s="53" t="n">
        <f aca="false">SUM(F44:H44)</f>
        <v>0</v>
      </c>
      <c r="J44" s="54" t="s">
        <v>20</v>
      </c>
    </row>
    <row r="45" customFormat="false" ht="15" hidden="false" customHeight="false" outlineLevel="0" collapsed="false">
      <c r="A45" s="51" t="n">
        <v>42</v>
      </c>
      <c r="B45" s="37" t="s">
        <v>108</v>
      </c>
      <c r="C45" s="37" t="s">
        <v>466</v>
      </c>
      <c r="D45" s="37" t="s">
        <v>446</v>
      </c>
      <c r="E45" s="37" t="s">
        <v>219</v>
      </c>
      <c r="F45" s="52"/>
      <c r="G45" s="52"/>
      <c r="H45" s="53" t="n">
        <v>1</v>
      </c>
      <c r="I45" s="53" t="n">
        <f aca="false">SUM(F45:H45)</f>
        <v>1</v>
      </c>
      <c r="J45" s="54" t="s">
        <v>20</v>
      </c>
    </row>
    <row r="46" customFormat="false" ht="15" hidden="false" customHeight="false" outlineLevel="0" collapsed="false">
      <c r="A46" s="51" t="n">
        <v>43</v>
      </c>
      <c r="B46" s="37" t="s">
        <v>108</v>
      </c>
      <c r="C46" s="37" t="s">
        <v>467</v>
      </c>
      <c r="D46" s="37" t="s">
        <v>445</v>
      </c>
      <c r="E46" s="37" t="s">
        <v>220</v>
      </c>
      <c r="F46" s="52"/>
      <c r="G46" s="52" t="n">
        <v>1</v>
      </c>
      <c r="H46" s="53"/>
      <c r="I46" s="53" t="n">
        <f aca="false">SUM(F46:H46)</f>
        <v>1</v>
      </c>
      <c r="J46" s="54" t="s">
        <v>20</v>
      </c>
    </row>
    <row r="47" customFormat="false" ht="15" hidden="false" customHeight="false" outlineLevel="0" collapsed="false">
      <c r="A47" s="51" t="n">
        <v>44</v>
      </c>
      <c r="B47" s="37" t="s">
        <v>108</v>
      </c>
      <c r="C47" s="37" t="s">
        <v>467</v>
      </c>
      <c r="D47" s="37" t="s">
        <v>446</v>
      </c>
      <c r="E47" s="37" t="s">
        <v>221</v>
      </c>
      <c r="F47" s="52"/>
      <c r="G47" s="52"/>
      <c r="H47" s="53"/>
      <c r="I47" s="53" t="n">
        <f aca="false">SUM(F47:H47)</f>
        <v>0</v>
      </c>
      <c r="J47" s="54" t="s">
        <v>20</v>
      </c>
    </row>
    <row r="48" customFormat="false" ht="15" hidden="false" customHeight="false" outlineLevel="0" collapsed="false">
      <c r="A48" s="51" t="n">
        <v>45</v>
      </c>
      <c r="B48" s="37" t="s">
        <v>108</v>
      </c>
      <c r="C48" s="37" t="s">
        <v>467</v>
      </c>
      <c r="D48" s="37" t="s">
        <v>445</v>
      </c>
      <c r="E48" s="37" t="s">
        <v>220</v>
      </c>
      <c r="F48" s="52"/>
      <c r="G48" s="52" t="n">
        <v>1</v>
      </c>
      <c r="H48" s="53"/>
      <c r="I48" s="53" t="n">
        <f aca="false">SUM(F48:H48)</f>
        <v>1</v>
      </c>
      <c r="J48" s="54" t="s">
        <v>20</v>
      </c>
    </row>
    <row r="49" customFormat="false" ht="15" hidden="false" customHeight="false" outlineLevel="0" collapsed="false">
      <c r="A49" s="51" t="n">
        <v>46</v>
      </c>
      <c r="B49" s="37" t="s">
        <v>108</v>
      </c>
      <c r="C49" s="37" t="s">
        <v>467</v>
      </c>
      <c r="D49" s="37" t="s">
        <v>446</v>
      </c>
      <c r="E49" s="37" t="s">
        <v>221</v>
      </c>
      <c r="F49" s="52"/>
      <c r="G49" s="52"/>
      <c r="H49" s="53"/>
      <c r="I49" s="53" t="n">
        <f aca="false">SUM(F49:H49)</f>
        <v>0</v>
      </c>
      <c r="J49" s="54" t="s">
        <v>20</v>
      </c>
    </row>
    <row r="50" customFormat="false" ht="15" hidden="false" customHeight="false" outlineLevel="0" collapsed="false">
      <c r="A50" s="51" t="n">
        <v>47</v>
      </c>
      <c r="B50" s="37" t="s">
        <v>108</v>
      </c>
      <c r="C50" s="37" t="s">
        <v>468</v>
      </c>
      <c r="D50" s="37" t="s">
        <v>445</v>
      </c>
      <c r="E50" s="37" t="s">
        <v>222</v>
      </c>
      <c r="F50" s="52" t="n">
        <v>1</v>
      </c>
      <c r="G50" s="52" t="n">
        <v>1</v>
      </c>
      <c r="H50" s="53" t="n">
        <v>1</v>
      </c>
      <c r="I50" s="53" t="n">
        <f aca="false">SUM(F50:H50)</f>
        <v>3</v>
      </c>
      <c r="J50" s="54" t="s">
        <v>20</v>
      </c>
    </row>
    <row r="51" customFormat="false" ht="15" hidden="false" customHeight="false" outlineLevel="0" collapsed="false">
      <c r="A51" s="51" t="n">
        <v>48</v>
      </c>
      <c r="B51" s="37" t="s">
        <v>108</v>
      </c>
      <c r="C51" s="37" t="s">
        <v>468</v>
      </c>
      <c r="D51" s="37" t="s">
        <v>446</v>
      </c>
      <c r="E51" s="37" t="s">
        <v>223</v>
      </c>
      <c r="F51" s="52" t="n">
        <v>2</v>
      </c>
      <c r="G51" s="52" t="n">
        <v>1</v>
      </c>
      <c r="H51" s="53" t="n">
        <v>0</v>
      </c>
      <c r="I51" s="53" t="n">
        <f aca="false">SUM(F51:H51)</f>
        <v>3</v>
      </c>
      <c r="J51" s="54" t="s">
        <v>20</v>
      </c>
    </row>
    <row r="52" customFormat="false" ht="15" hidden="false" customHeight="false" outlineLevel="0" collapsed="false">
      <c r="A52" s="51"/>
      <c r="B52" s="37" t="s">
        <v>108</v>
      </c>
      <c r="C52" s="37" t="s">
        <v>468</v>
      </c>
      <c r="D52" s="37" t="s">
        <v>446</v>
      </c>
      <c r="E52" s="37" t="s">
        <v>223</v>
      </c>
      <c r="F52" s="52"/>
      <c r="G52" s="52" t="n">
        <v>2</v>
      </c>
      <c r="H52" s="53" t="n">
        <v>2</v>
      </c>
      <c r="I52" s="55" t="n">
        <f aca="false">SUM(F52:H52)</f>
        <v>4</v>
      </c>
      <c r="J52" s="54" t="s">
        <v>1</v>
      </c>
    </row>
    <row r="53" customFormat="false" ht="15" hidden="false" customHeight="false" outlineLevel="0" collapsed="false">
      <c r="A53" s="51" t="n">
        <v>49</v>
      </c>
      <c r="B53" s="37" t="s">
        <v>108</v>
      </c>
      <c r="C53" s="37" t="s">
        <v>469</v>
      </c>
      <c r="D53" s="37" t="s">
        <v>445</v>
      </c>
      <c r="E53" s="37" t="s">
        <v>224</v>
      </c>
      <c r="F53" s="52"/>
      <c r="G53" s="52" t="n">
        <v>1</v>
      </c>
      <c r="H53" s="53" t="n">
        <v>1</v>
      </c>
      <c r="I53" s="53" t="n">
        <f aca="false">SUM(F53:H53)</f>
        <v>2</v>
      </c>
      <c r="J53" s="54" t="s">
        <v>20</v>
      </c>
    </row>
    <row r="54" customFormat="false" ht="15" hidden="false" customHeight="false" outlineLevel="0" collapsed="false">
      <c r="A54" s="51" t="n">
        <v>50</v>
      </c>
      <c r="B54" s="37" t="s">
        <v>108</v>
      </c>
      <c r="C54" s="37" t="s">
        <v>469</v>
      </c>
      <c r="D54" s="37" t="s">
        <v>446</v>
      </c>
      <c r="E54" s="37" t="s">
        <v>225</v>
      </c>
      <c r="F54" s="52" t="n">
        <v>1</v>
      </c>
      <c r="G54" s="52" t="n">
        <v>1</v>
      </c>
      <c r="H54" s="53"/>
      <c r="I54" s="53" t="n">
        <f aca="false">SUM(F54:H54)</f>
        <v>2</v>
      </c>
      <c r="J54" s="54" t="s">
        <v>20</v>
      </c>
    </row>
    <row r="55" customFormat="false" ht="15" hidden="false" customHeight="false" outlineLevel="0" collapsed="false">
      <c r="A55" s="51" t="n">
        <v>51</v>
      </c>
      <c r="B55" s="37" t="s">
        <v>108</v>
      </c>
      <c r="C55" s="37" t="s">
        <v>470</v>
      </c>
      <c r="D55" s="37" t="s">
        <v>445</v>
      </c>
      <c r="E55" s="37" t="s">
        <v>226</v>
      </c>
      <c r="F55" s="52"/>
      <c r="G55" s="52"/>
      <c r="H55" s="53"/>
      <c r="I55" s="53" t="n">
        <f aca="false">SUM(F55:H55)</f>
        <v>0</v>
      </c>
      <c r="J55" s="54" t="s">
        <v>20</v>
      </c>
    </row>
    <row r="56" customFormat="false" ht="15" hidden="false" customHeight="false" outlineLevel="0" collapsed="false">
      <c r="A56" s="51" t="n">
        <v>52</v>
      </c>
      <c r="B56" s="37" t="s">
        <v>108</v>
      </c>
      <c r="C56" s="37" t="s">
        <v>470</v>
      </c>
      <c r="D56" s="37" t="s">
        <v>446</v>
      </c>
      <c r="E56" s="37" t="s">
        <v>227</v>
      </c>
      <c r="F56" s="52"/>
      <c r="G56" s="52"/>
      <c r="H56" s="53"/>
      <c r="I56" s="53" t="n">
        <f aca="false">SUM(F56:H56)</f>
        <v>0</v>
      </c>
      <c r="J56" s="54" t="s">
        <v>20</v>
      </c>
    </row>
    <row r="57" customFormat="false" ht="15" hidden="false" customHeight="false" outlineLevel="0" collapsed="false">
      <c r="A57" s="51" t="n">
        <v>53</v>
      </c>
      <c r="B57" s="37" t="s">
        <v>108</v>
      </c>
      <c r="C57" s="37" t="s">
        <v>471</v>
      </c>
      <c r="D57" s="37" t="s">
        <v>445</v>
      </c>
      <c r="E57" s="37" t="s">
        <v>228</v>
      </c>
      <c r="F57" s="52" t="n">
        <v>2</v>
      </c>
      <c r="G57" s="52" t="n">
        <v>1</v>
      </c>
      <c r="H57" s="53" t="n">
        <v>1</v>
      </c>
      <c r="I57" s="53" t="n">
        <f aca="false">SUM(F57:H57)</f>
        <v>4</v>
      </c>
      <c r="J57" s="54" t="s">
        <v>20</v>
      </c>
    </row>
    <row r="58" customFormat="false" ht="15" hidden="false" customHeight="false" outlineLevel="0" collapsed="false">
      <c r="A58" s="51" t="n">
        <v>54</v>
      </c>
      <c r="B58" s="37" t="s">
        <v>108</v>
      </c>
      <c r="C58" s="37" t="s">
        <v>471</v>
      </c>
      <c r="D58" s="37" t="s">
        <v>446</v>
      </c>
      <c r="E58" s="37" t="s">
        <v>229</v>
      </c>
      <c r="F58" s="52" t="n">
        <v>1</v>
      </c>
      <c r="G58" s="52"/>
      <c r="H58" s="53"/>
      <c r="I58" s="53" t="n">
        <f aca="false">SUM(F58:H58)</f>
        <v>1</v>
      </c>
      <c r="J58" s="54" t="s">
        <v>20</v>
      </c>
    </row>
    <row r="59" customFormat="false" ht="15" hidden="false" customHeight="false" outlineLevel="0" collapsed="false">
      <c r="A59" s="51" t="n">
        <v>55</v>
      </c>
      <c r="B59" s="37" t="s">
        <v>108</v>
      </c>
      <c r="C59" s="37" t="s">
        <v>472</v>
      </c>
      <c r="D59" s="37" t="s">
        <v>445</v>
      </c>
      <c r="E59" s="37" t="s">
        <v>230</v>
      </c>
      <c r="F59" s="52" t="n">
        <v>1</v>
      </c>
      <c r="G59" s="52" t="n">
        <v>0</v>
      </c>
      <c r="H59" s="53" t="n">
        <v>0</v>
      </c>
      <c r="I59" s="53" t="n">
        <f aca="false">SUM(F59:H59)</f>
        <v>1</v>
      </c>
      <c r="J59" s="54" t="s">
        <v>20</v>
      </c>
    </row>
    <row r="60" customFormat="false" ht="15" hidden="false" customHeight="false" outlineLevel="0" collapsed="false">
      <c r="A60" s="51" t="n">
        <v>56</v>
      </c>
      <c r="B60" s="37" t="s">
        <v>108</v>
      </c>
      <c r="C60" s="37" t="s">
        <v>472</v>
      </c>
      <c r="D60" s="37" t="s">
        <v>446</v>
      </c>
      <c r="E60" s="37" t="s">
        <v>231</v>
      </c>
      <c r="F60" s="52" t="n">
        <v>2</v>
      </c>
      <c r="G60" s="52" t="n">
        <v>0</v>
      </c>
      <c r="H60" s="53" t="n">
        <v>0</v>
      </c>
      <c r="I60" s="53" t="n">
        <f aca="false">SUM(F60:H60)</f>
        <v>2</v>
      </c>
      <c r="J60" s="54" t="s">
        <v>20</v>
      </c>
    </row>
    <row r="61" customFormat="false" ht="15" hidden="false" customHeight="false" outlineLevel="0" collapsed="false">
      <c r="A61" s="51"/>
      <c r="B61" s="37" t="s">
        <v>108</v>
      </c>
      <c r="C61" s="37" t="s">
        <v>472</v>
      </c>
      <c r="D61" s="37" t="s">
        <v>446</v>
      </c>
      <c r="E61" s="37" t="s">
        <v>231</v>
      </c>
      <c r="F61" s="52"/>
      <c r="G61" s="52" t="n">
        <v>1</v>
      </c>
      <c r="H61" s="53" t="n">
        <v>2</v>
      </c>
      <c r="I61" s="55" t="n">
        <f aca="false">SUM(F61:H61)</f>
        <v>3</v>
      </c>
      <c r="J61" s="54" t="s">
        <v>1</v>
      </c>
    </row>
    <row r="62" customFormat="false" ht="15" hidden="false" customHeight="false" outlineLevel="0" collapsed="false">
      <c r="A62" s="51"/>
      <c r="B62" s="37" t="s">
        <v>108</v>
      </c>
      <c r="C62" s="37" t="s">
        <v>472</v>
      </c>
      <c r="D62" s="37" t="s">
        <v>445</v>
      </c>
      <c r="E62" s="37" t="s">
        <v>231</v>
      </c>
      <c r="F62" s="52"/>
      <c r="G62" s="52" t="n">
        <v>1</v>
      </c>
      <c r="H62" s="53" t="n">
        <v>2</v>
      </c>
      <c r="I62" s="55" t="n">
        <f aca="false">SUM(F62:H62)</f>
        <v>3</v>
      </c>
      <c r="J62" s="54" t="s">
        <v>1</v>
      </c>
    </row>
    <row r="63" customFormat="false" ht="15" hidden="false" customHeight="false" outlineLevel="0" collapsed="false">
      <c r="A63" s="51" t="n">
        <v>57</v>
      </c>
      <c r="B63" s="37" t="s">
        <v>108</v>
      </c>
      <c r="C63" s="37" t="s">
        <v>473</v>
      </c>
      <c r="D63" s="37" t="s">
        <v>445</v>
      </c>
      <c r="E63" s="37" t="str">
        <f aca="false">CONCATENATE(Table13[[#This Row],[Cloth Code]],Table13[[#This Row],[Shirt type]])</f>
        <v>P-133HS</v>
      </c>
      <c r="F63" s="52"/>
      <c r="G63" s="52"/>
      <c r="H63" s="53"/>
      <c r="I63" s="53" t="n">
        <f aca="false">SUM(F63:H63)</f>
        <v>0</v>
      </c>
      <c r="J63" s="54" t="s">
        <v>20</v>
      </c>
    </row>
    <row r="64" customFormat="false" ht="15" hidden="false" customHeight="false" outlineLevel="0" collapsed="false">
      <c r="A64" s="51" t="n">
        <v>58</v>
      </c>
      <c r="B64" s="37" t="s">
        <v>108</v>
      </c>
      <c r="C64" s="37" t="s">
        <v>473</v>
      </c>
      <c r="D64" s="37" t="s">
        <v>446</v>
      </c>
      <c r="E64" s="37" t="str">
        <f aca="false">CONCATENATE(Table13[[#This Row],[Cloth Code]],Table13[[#This Row],[Shirt type]])</f>
        <v>P-133FS</v>
      </c>
      <c r="F64" s="52"/>
      <c r="G64" s="52"/>
      <c r="H64" s="53"/>
      <c r="I64" s="53" t="n">
        <f aca="false">SUM(F64:H64)</f>
        <v>0</v>
      </c>
      <c r="J64" s="54" t="s">
        <v>20</v>
      </c>
    </row>
    <row r="65" customFormat="false" ht="15" hidden="false" customHeight="false" outlineLevel="0" collapsed="false">
      <c r="A65" s="51" t="n">
        <v>59</v>
      </c>
      <c r="B65" s="37" t="s">
        <v>108</v>
      </c>
      <c r="C65" s="37" t="s">
        <v>474</v>
      </c>
      <c r="D65" s="37" t="s">
        <v>445</v>
      </c>
      <c r="E65" s="37" t="s">
        <v>234</v>
      </c>
      <c r="F65" s="52" t="n">
        <v>2</v>
      </c>
      <c r="G65" s="52" t="n">
        <v>1</v>
      </c>
      <c r="H65" s="53" t="n">
        <v>2</v>
      </c>
      <c r="I65" s="53" t="n">
        <f aca="false">SUM(F65:H65)</f>
        <v>5</v>
      </c>
      <c r="J65" s="54" t="s">
        <v>20</v>
      </c>
    </row>
    <row r="66" customFormat="false" ht="15" hidden="false" customHeight="false" outlineLevel="0" collapsed="false">
      <c r="A66" s="51" t="n">
        <v>60</v>
      </c>
      <c r="B66" s="37" t="s">
        <v>108</v>
      </c>
      <c r="C66" s="37" t="s">
        <v>474</v>
      </c>
      <c r="D66" s="37" t="s">
        <v>446</v>
      </c>
      <c r="E66" s="37" t="s">
        <v>235</v>
      </c>
      <c r="F66" s="52"/>
      <c r="G66" s="52" t="n">
        <v>2</v>
      </c>
      <c r="H66" s="53" t="n">
        <v>1</v>
      </c>
      <c r="I66" s="53" t="n">
        <f aca="false">SUM(F66:H66)</f>
        <v>3</v>
      </c>
      <c r="J66" s="54" t="s">
        <v>20</v>
      </c>
    </row>
    <row r="67" customFormat="false" ht="15" hidden="false" customHeight="false" outlineLevel="0" collapsed="false">
      <c r="A67" s="51" t="n">
        <v>61</v>
      </c>
      <c r="B67" s="37" t="s">
        <v>108</v>
      </c>
      <c r="C67" s="37" t="s">
        <v>475</v>
      </c>
      <c r="D67" s="37" t="s">
        <v>445</v>
      </c>
      <c r="E67" s="37" t="s">
        <v>236</v>
      </c>
      <c r="F67" s="52"/>
      <c r="G67" s="52"/>
      <c r="H67" s="53" t="n">
        <v>1</v>
      </c>
      <c r="I67" s="53" t="n">
        <f aca="false">SUM(F67:H67)</f>
        <v>1</v>
      </c>
      <c r="J67" s="54" t="s">
        <v>20</v>
      </c>
    </row>
    <row r="68" customFormat="false" ht="15" hidden="false" customHeight="false" outlineLevel="0" collapsed="false">
      <c r="A68" s="51" t="n">
        <v>62</v>
      </c>
      <c r="B68" s="37" t="s">
        <v>108</v>
      </c>
      <c r="C68" s="37" t="s">
        <v>475</v>
      </c>
      <c r="D68" s="37" t="s">
        <v>446</v>
      </c>
      <c r="E68" s="37" t="s">
        <v>237</v>
      </c>
      <c r="F68" s="52"/>
      <c r="G68" s="52" t="n">
        <v>1</v>
      </c>
      <c r="H68" s="53" t="n">
        <v>3</v>
      </c>
      <c r="I68" s="53" t="n">
        <f aca="false">SUM(F68:H68)</f>
        <v>4</v>
      </c>
      <c r="J68" s="54" t="s">
        <v>20</v>
      </c>
    </row>
    <row r="69" customFormat="false" ht="15" hidden="false" customHeight="false" outlineLevel="0" collapsed="false">
      <c r="A69" s="51" t="n">
        <v>63</v>
      </c>
      <c r="B69" s="37" t="s">
        <v>108</v>
      </c>
      <c r="C69" s="37" t="s">
        <v>476</v>
      </c>
      <c r="D69" s="37" t="s">
        <v>445</v>
      </c>
      <c r="E69" s="37" t="s">
        <v>238</v>
      </c>
      <c r="F69" s="52" t="n">
        <v>1</v>
      </c>
      <c r="G69" s="52" t="n">
        <v>0</v>
      </c>
      <c r="H69" s="53" t="n">
        <v>0</v>
      </c>
      <c r="I69" s="53" t="n">
        <f aca="false">SUM(F69:H69)</f>
        <v>1</v>
      </c>
      <c r="J69" s="54" t="s">
        <v>20</v>
      </c>
    </row>
    <row r="70" customFormat="false" ht="15" hidden="false" customHeight="false" outlineLevel="0" collapsed="false">
      <c r="A70" s="51"/>
      <c r="B70" s="37" t="s">
        <v>108</v>
      </c>
      <c r="C70" s="37" t="s">
        <v>476</v>
      </c>
      <c r="D70" s="37" t="s">
        <v>445</v>
      </c>
      <c r="E70" s="37" t="s">
        <v>238</v>
      </c>
      <c r="F70" s="52"/>
      <c r="G70" s="52" t="n">
        <v>2</v>
      </c>
      <c r="H70" s="53" t="n">
        <v>2</v>
      </c>
      <c r="I70" s="55" t="n">
        <f aca="false">SUM(F70:H70)</f>
        <v>4</v>
      </c>
      <c r="J70" s="54" t="s">
        <v>1</v>
      </c>
    </row>
    <row r="71" customFormat="false" ht="15" hidden="false" customHeight="false" outlineLevel="0" collapsed="false">
      <c r="A71" s="51" t="n">
        <v>64</v>
      </c>
      <c r="B71" s="37" t="s">
        <v>108</v>
      </c>
      <c r="C71" s="37" t="s">
        <v>476</v>
      </c>
      <c r="D71" s="37" t="s">
        <v>446</v>
      </c>
      <c r="E71" s="37" t="s">
        <v>239</v>
      </c>
      <c r="F71" s="52" t="n">
        <v>2</v>
      </c>
      <c r="G71" s="52" t="n">
        <v>1</v>
      </c>
      <c r="H71" s="53"/>
      <c r="I71" s="53" t="n">
        <f aca="false">SUM(F71:H71)</f>
        <v>3</v>
      </c>
      <c r="J71" s="54" t="s">
        <v>20</v>
      </c>
    </row>
    <row r="72" customFormat="false" ht="15" hidden="false" customHeight="false" outlineLevel="0" collapsed="false">
      <c r="A72" s="51" t="n">
        <v>65</v>
      </c>
      <c r="B72" s="37" t="s">
        <v>108</v>
      </c>
      <c r="C72" s="37" t="s">
        <v>477</v>
      </c>
      <c r="D72" s="37" t="s">
        <v>445</v>
      </c>
      <c r="E72" s="37" t="s">
        <v>240</v>
      </c>
      <c r="F72" s="52" t="n">
        <v>3</v>
      </c>
      <c r="G72" s="52" t="n">
        <v>1</v>
      </c>
      <c r="H72" s="53" t="n">
        <v>1</v>
      </c>
      <c r="I72" s="53" t="n">
        <f aca="false">SUM(F72:H72)</f>
        <v>5</v>
      </c>
      <c r="J72" s="54" t="s">
        <v>20</v>
      </c>
    </row>
    <row r="73" customFormat="false" ht="15" hidden="false" customHeight="false" outlineLevel="0" collapsed="false">
      <c r="A73" s="51" t="n">
        <v>66</v>
      </c>
      <c r="B73" s="37" t="s">
        <v>108</v>
      </c>
      <c r="C73" s="37" t="s">
        <v>477</v>
      </c>
      <c r="D73" s="37" t="s">
        <v>446</v>
      </c>
      <c r="E73" s="37" t="s">
        <v>241</v>
      </c>
      <c r="F73" s="52" t="n">
        <v>2</v>
      </c>
      <c r="G73" s="52"/>
      <c r="H73" s="53" t="n">
        <v>1</v>
      </c>
      <c r="I73" s="53" t="n">
        <f aca="false">SUM(F73:H73)</f>
        <v>3</v>
      </c>
      <c r="J73" s="54" t="s">
        <v>20</v>
      </c>
    </row>
    <row r="74" customFormat="false" ht="15" hidden="false" customHeight="false" outlineLevel="0" collapsed="false">
      <c r="A74" s="51" t="n">
        <v>67</v>
      </c>
      <c r="B74" s="37" t="s">
        <v>108</v>
      </c>
      <c r="C74" s="37" t="s">
        <v>478</v>
      </c>
      <c r="D74" s="37" t="s">
        <v>445</v>
      </c>
      <c r="E74" s="37" t="s">
        <v>242</v>
      </c>
      <c r="F74" s="52"/>
      <c r="G74" s="52"/>
      <c r="H74" s="53"/>
      <c r="I74" s="53" t="n">
        <f aca="false">SUM(F74:H74)</f>
        <v>0</v>
      </c>
      <c r="J74" s="54" t="s">
        <v>20</v>
      </c>
    </row>
    <row r="75" customFormat="false" ht="15" hidden="false" customHeight="false" outlineLevel="0" collapsed="false">
      <c r="A75" s="51" t="n">
        <v>68</v>
      </c>
      <c r="B75" s="37" t="s">
        <v>108</v>
      </c>
      <c r="C75" s="37" t="s">
        <v>478</v>
      </c>
      <c r="D75" s="37" t="s">
        <v>446</v>
      </c>
      <c r="E75" s="37" t="s">
        <v>243</v>
      </c>
      <c r="F75" s="52"/>
      <c r="G75" s="52" t="n">
        <v>2</v>
      </c>
      <c r="H75" s="53" t="n">
        <v>2</v>
      </c>
      <c r="I75" s="53" t="n">
        <f aca="false">SUM(F75:H75)</f>
        <v>4</v>
      </c>
      <c r="J75" s="54" t="s">
        <v>20</v>
      </c>
    </row>
    <row r="76" customFormat="false" ht="15" hidden="false" customHeight="false" outlineLevel="0" collapsed="false">
      <c r="A76" s="51" t="n">
        <v>69</v>
      </c>
      <c r="B76" s="37" t="s">
        <v>108</v>
      </c>
      <c r="C76" s="37" t="s">
        <v>479</v>
      </c>
      <c r="D76" s="37" t="s">
        <v>445</v>
      </c>
      <c r="E76" s="37" t="s">
        <v>244</v>
      </c>
      <c r="F76" s="52"/>
      <c r="G76" s="52"/>
      <c r="H76" s="53" t="n">
        <v>1</v>
      </c>
      <c r="I76" s="53" t="n">
        <f aca="false">SUM(F76:H76)</f>
        <v>1</v>
      </c>
      <c r="J76" s="54" t="s">
        <v>20</v>
      </c>
    </row>
    <row r="77" customFormat="false" ht="15" hidden="false" customHeight="false" outlineLevel="0" collapsed="false">
      <c r="A77" s="51" t="n">
        <v>70</v>
      </c>
      <c r="B77" s="37" t="s">
        <v>108</v>
      </c>
      <c r="C77" s="37" t="s">
        <v>479</v>
      </c>
      <c r="D77" s="37" t="s">
        <v>446</v>
      </c>
      <c r="E77" s="37" t="s">
        <v>245</v>
      </c>
      <c r="F77" s="52"/>
      <c r="G77" s="52"/>
      <c r="H77" s="53"/>
      <c r="I77" s="53" t="n">
        <f aca="false">SUM(F77:H77)</f>
        <v>0</v>
      </c>
      <c r="J77" s="54" t="s">
        <v>20</v>
      </c>
    </row>
    <row r="78" customFormat="false" ht="15" hidden="false" customHeight="false" outlineLevel="0" collapsed="false">
      <c r="A78" s="51" t="n">
        <v>71</v>
      </c>
      <c r="B78" s="37" t="s">
        <v>108</v>
      </c>
      <c r="C78" s="37" t="s">
        <v>480</v>
      </c>
      <c r="D78" s="37" t="s">
        <v>445</v>
      </c>
      <c r="E78" s="37" t="s">
        <v>246</v>
      </c>
      <c r="F78" s="52"/>
      <c r="G78" s="52" t="n">
        <v>3</v>
      </c>
      <c r="H78" s="53" t="n">
        <v>4</v>
      </c>
      <c r="I78" s="53" t="n">
        <f aca="false">SUM(F78:H78)</f>
        <v>7</v>
      </c>
      <c r="J78" s="54" t="s">
        <v>20</v>
      </c>
    </row>
    <row r="79" customFormat="false" ht="15" hidden="false" customHeight="false" outlineLevel="0" collapsed="false">
      <c r="A79" s="51" t="n">
        <v>72</v>
      </c>
      <c r="B79" s="37" t="s">
        <v>108</v>
      </c>
      <c r="C79" s="37" t="s">
        <v>480</v>
      </c>
      <c r="D79" s="37" t="s">
        <v>446</v>
      </c>
      <c r="E79" s="37" t="s">
        <v>247</v>
      </c>
      <c r="F79" s="52"/>
      <c r="G79" s="52" t="n">
        <v>2</v>
      </c>
      <c r="H79" s="53"/>
      <c r="I79" s="53" t="n">
        <f aca="false">SUM(F79:H79)</f>
        <v>2</v>
      </c>
      <c r="J79" s="54" t="s">
        <v>20</v>
      </c>
    </row>
    <row r="80" customFormat="false" ht="15" hidden="false" customHeight="false" outlineLevel="0" collapsed="false">
      <c r="A80" s="51" t="n">
        <v>73</v>
      </c>
      <c r="B80" s="37" t="s">
        <v>108</v>
      </c>
      <c r="C80" s="37" t="s">
        <v>481</v>
      </c>
      <c r="D80" s="37" t="s">
        <v>445</v>
      </c>
      <c r="E80" s="37" t="str">
        <f aca="false">CONCATENATE(Table13[[#This Row],[Cloth Code]],Table13[[#This Row],[Shirt type]])</f>
        <v>P-143HS</v>
      </c>
      <c r="F80" s="52"/>
      <c r="G80" s="52" t="n">
        <v>1</v>
      </c>
      <c r="H80" s="53" t="n">
        <v>1</v>
      </c>
      <c r="I80" s="53" t="n">
        <f aca="false">SUM(F80:H80)</f>
        <v>2</v>
      </c>
      <c r="J80" s="54" t="s">
        <v>20</v>
      </c>
    </row>
    <row r="81" customFormat="false" ht="15" hidden="false" customHeight="false" outlineLevel="0" collapsed="false">
      <c r="A81" s="51" t="n">
        <v>74</v>
      </c>
      <c r="B81" s="37" t="s">
        <v>108</v>
      </c>
      <c r="C81" s="37" t="s">
        <v>481</v>
      </c>
      <c r="D81" s="37" t="s">
        <v>446</v>
      </c>
      <c r="E81" s="37" t="str">
        <f aca="false">CONCATENATE(Table13[[#This Row],[Cloth Code]],Table13[[#This Row],[Shirt type]])</f>
        <v>P-143FS</v>
      </c>
      <c r="F81" s="52"/>
      <c r="G81" s="52"/>
      <c r="H81" s="53"/>
      <c r="I81" s="53" t="n">
        <f aca="false">SUM(F81:H81)</f>
        <v>0</v>
      </c>
      <c r="J81" s="54" t="s">
        <v>20</v>
      </c>
    </row>
    <row r="82" customFormat="false" ht="15" hidden="false" customHeight="false" outlineLevel="0" collapsed="false">
      <c r="A82" s="51" t="n">
        <v>75</v>
      </c>
      <c r="B82" s="37" t="s">
        <v>108</v>
      </c>
      <c r="C82" s="37" t="s">
        <v>482</v>
      </c>
      <c r="D82" s="37" t="s">
        <v>445</v>
      </c>
      <c r="E82" s="37" t="str">
        <f aca="false">CONCATENATE(Table13[[#This Row],[Cloth Code]],Table13[[#This Row],[Shirt type]])</f>
        <v>P-147HS</v>
      </c>
      <c r="F82" s="52"/>
      <c r="G82" s="52"/>
      <c r="H82" s="53"/>
      <c r="I82" s="53" t="n">
        <f aca="false">SUM(F82:H82)</f>
        <v>0</v>
      </c>
      <c r="J82" s="54" t="s">
        <v>20</v>
      </c>
    </row>
    <row r="83" customFormat="false" ht="15" hidden="false" customHeight="false" outlineLevel="0" collapsed="false">
      <c r="A83" s="51" t="n">
        <v>76</v>
      </c>
      <c r="B83" s="37" t="s">
        <v>108</v>
      </c>
      <c r="C83" s="37" t="s">
        <v>482</v>
      </c>
      <c r="D83" s="37" t="s">
        <v>446</v>
      </c>
      <c r="E83" s="37" t="str">
        <f aca="false">CONCATENATE(Table13[[#This Row],[Cloth Code]],Table13[[#This Row],[Shirt type]])</f>
        <v>P-147FS</v>
      </c>
      <c r="F83" s="52"/>
      <c r="G83" s="52"/>
      <c r="H83" s="53"/>
      <c r="I83" s="53" t="n">
        <f aca="false">SUM(F83:H83)</f>
        <v>0</v>
      </c>
      <c r="J83" s="54" t="s">
        <v>20</v>
      </c>
    </row>
    <row r="84" customFormat="false" ht="15" hidden="false" customHeight="false" outlineLevel="0" collapsed="false">
      <c r="A84" s="51" t="n">
        <v>77</v>
      </c>
      <c r="B84" s="37" t="s">
        <v>108</v>
      </c>
      <c r="C84" s="37" t="s">
        <v>483</v>
      </c>
      <c r="D84" s="37" t="s">
        <v>445</v>
      </c>
      <c r="E84" s="37" t="str">
        <f aca="false">CONCATENATE(Table13[[#This Row],[Cloth Code]],Table13[[#This Row],[Shirt type]])</f>
        <v>P-148HS</v>
      </c>
      <c r="F84" s="52"/>
      <c r="G84" s="52" t="n">
        <v>0</v>
      </c>
      <c r="H84" s="53" t="n">
        <v>0</v>
      </c>
      <c r="I84" s="53" t="n">
        <f aca="false">SUM(F84:H84)</f>
        <v>0</v>
      </c>
      <c r="J84" s="54" t="s">
        <v>20</v>
      </c>
    </row>
    <row r="85" customFormat="false" ht="15" hidden="false" customHeight="false" outlineLevel="0" collapsed="false">
      <c r="A85" s="51"/>
      <c r="B85" s="37" t="s">
        <v>108</v>
      </c>
      <c r="C85" s="37" t="s">
        <v>483</v>
      </c>
      <c r="D85" s="37" t="s">
        <v>445</v>
      </c>
      <c r="E85" s="37" t="str">
        <f aca="false">CONCATENATE(Table13[[#This Row],[Cloth Code]],Table13[[#This Row],[Shirt type]])</f>
        <v>P-148HS</v>
      </c>
      <c r="F85" s="52"/>
      <c r="G85" s="52" t="n">
        <v>2</v>
      </c>
      <c r="H85" s="53" t="n">
        <v>1</v>
      </c>
      <c r="I85" s="55" t="n">
        <f aca="false">SUM(F85:H85)</f>
        <v>3</v>
      </c>
      <c r="J85" s="54" t="s">
        <v>1</v>
      </c>
    </row>
    <row r="86" customFormat="false" ht="15" hidden="false" customHeight="false" outlineLevel="0" collapsed="false">
      <c r="A86" s="51" t="n">
        <v>78</v>
      </c>
      <c r="B86" s="37" t="s">
        <v>108</v>
      </c>
      <c r="C86" s="37" t="s">
        <v>483</v>
      </c>
      <c r="D86" s="37" t="s">
        <v>446</v>
      </c>
      <c r="E86" s="37" t="str">
        <f aca="false">CONCATENATE(Table13[[#This Row],[Cloth Code]],Table13[[#This Row],[Shirt type]])</f>
        <v>P-148FS</v>
      </c>
      <c r="F86" s="52"/>
      <c r="G86" s="52" t="n">
        <v>0</v>
      </c>
      <c r="H86" s="53" t="n">
        <v>0</v>
      </c>
      <c r="I86" s="53" t="n">
        <f aca="false">SUM(F86:H86)</f>
        <v>0</v>
      </c>
      <c r="J86" s="54" t="s">
        <v>20</v>
      </c>
    </row>
    <row r="87" customFormat="false" ht="15" hidden="false" customHeight="false" outlineLevel="0" collapsed="false">
      <c r="A87" s="51"/>
      <c r="B87" s="37" t="s">
        <v>108</v>
      </c>
      <c r="C87" s="37" t="s">
        <v>483</v>
      </c>
      <c r="D87" s="37" t="s">
        <v>446</v>
      </c>
      <c r="E87" s="37" t="str">
        <f aca="false">CONCATENATE(Table13[[#This Row],[Cloth Code]],Table13[[#This Row],[Shirt type]])</f>
        <v>P-148FS</v>
      </c>
      <c r="F87" s="52"/>
      <c r="G87" s="52" t="n">
        <v>2</v>
      </c>
      <c r="H87" s="53" t="n">
        <v>1</v>
      </c>
      <c r="I87" s="55" t="n">
        <f aca="false">SUM(F87:H87)</f>
        <v>3</v>
      </c>
      <c r="J87" s="54" t="s">
        <v>1</v>
      </c>
    </row>
    <row r="88" customFormat="false" ht="15" hidden="false" customHeight="false" outlineLevel="0" collapsed="false">
      <c r="A88" s="51" t="n">
        <v>79</v>
      </c>
      <c r="B88" s="37" t="s">
        <v>108</v>
      </c>
      <c r="C88" s="37" t="s">
        <v>484</v>
      </c>
      <c r="D88" s="37" t="s">
        <v>445</v>
      </c>
      <c r="E88" s="37" t="str">
        <f aca="false">CONCATENATE(Table13[[#This Row],[Cloth Code]],Table13[[#This Row],[Shirt type]])</f>
        <v>P-150HS</v>
      </c>
      <c r="F88" s="52" t="n">
        <v>2</v>
      </c>
      <c r="G88" s="52"/>
      <c r="H88" s="53" t="n">
        <v>1</v>
      </c>
      <c r="I88" s="53" t="n">
        <f aca="false">SUM(F88:H88)</f>
        <v>3</v>
      </c>
      <c r="J88" s="54" t="s">
        <v>20</v>
      </c>
    </row>
    <row r="89" customFormat="false" ht="15" hidden="false" customHeight="false" outlineLevel="0" collapsed="false">
      <c r="A89" s="51" t="n">
        <v>80</v>
      </c>
      <c r="B89" s="37" t="s">
        <v>108</v>
      </c>
      <c r="C89" s="37" t="s">
        <v>484</v>
      </c>
      <c r="D89" s="37" t="s">
        <v>446</v>
      </c>
      <c r="E89" s="37" t="str">
        <f aca="false">CONCATENATE(Table13[[#This Row],[Cloth Code]],Table13[[#This Row],[Shirt type]])</f>
        <v>P-150FS</v>
      </c>
      <c r="F89" s="52" t="n">
        <v>2</v>
      </c>
      <c r="G89" s="52" t="n">
        <v>2</v>
      </c>
      <c r="H89" s="53" t="n">
        <v>1</v>
      </c>
      <c r="I89" s="53" t="n">
        <f aca="false">SUM(F89:H89)</f>
        <v>5</v>
      </c>
      <c r="J89" s="54" t="s">
        <v>20</v>
      </c>
    </row>
    <row r="90" customFormat="false" ht="15" hidden="false" customHeight="false" outlineLevel="0" collapsed="false">
      <c r="A90" s="51" t="n">
        <v>81</v>
      </c>
      <c r="B90" s="37" t="s">
        <v>108</v>
      </c>
      <c r="C90" s="37" t="s">
        <v>485</v>
      </c>
      <c r="D90" s="37" t="s">
        <v>445</v>
      </c>
      <c r="E90" s="37" t="str">
        <f aca="false">CONCATENATE(Table13[[#This Row],[Cloth Code]],Table13[[#This Row],[Shirt type]])</f>
        <v>P-153HS</v>
      </c>
      <c r="F90" s="52"/>
      <c r="G90" s="52"/>
      <c r="H90" s="53"/>
      <c r="I90" s="53" t="n">
        <f aca="false">SUM(F90:H90)</f>
        <v>0</v>
      </c>
      <c r="J90" s="54" t="s">
        <v>20</v>
      </c>
    </row>
    <row r="91" customFormat="false" ht="15" hidden="false" customHeight="false" outlineLevel="0" collapsed="false">
      <c r="A91" s="51" t="n">
        <v>82</v>
      </c>
      <c r="B91" s="37" t="s">
        <v>108</v>
      </c>
      <c r="C91" s="37" t="s">
        <v>485</v>
      </c>
      <c r="D91" s="37" t="s">
        <v>446</v>
      </c>
      <c r="E91" s="37" t="str">
        <f aca="false">CONCATENATE(Table13[[#This Row],[Cloth Code]],Table13[[#This Row],[Shirt type]])</f>
        <v>P-153FS</v>
      </c>
      <c r="F91" s="52"/>
      <c r="G91" s="52"/>
      <c r="H91" s="53"/>
      <c r="I91" s="53" t="n">
        <f aca="false">SUM(F91:H91)</f>
        <v>0</v>
      </c>
      <c r="J91" s="54" t="s">
        <v>20</v>
      </c>
    </row>
    <row r="92" customFormat="false" ht="15" hidden="false" customHeight="false" outlineLevel="0" collapsed="false">
      <c r="A92" s="51" t="n">
        <v>83</v>
      </c>
      <c r="B92" s="37" t="s">
        <v>108</v>
      </c>
      <c r="C92" s="37" t="s">
        <v>486</v>
      </c>
      <c r="D92" s="37" t="s">
        <v>445</v>
      </c>
      <c r="E92" s="37" t="str">
        <f aca="false">CONCATENATE(Table13[[#This Row],[Cloth Code]],Table13[[#This Row],[Shirt type]])</f>
        <v>P-154HS</v>
      </c>
      <c r="F92" s="52"/>
      <c r="G92" s="52"/>
      <c r="H92" s="53" t="n">
        <v>1</v>
      </c>
      <c r="I92" s="53" t="n">
        <f aca="false">SUM(F92:H92)</f>
        <v>1</v>
      </c>
      <c r="J92" s="54" t="s">
        <v>20</v>
      </c>
    </row>
    <row r="93" customFormat="false" ht="15" hidden="false" customHeight="false" outlineLevel="0" collapsed="false">
      <c r="A93" s="51" t="n">
        <v>84</v>
      </c>
      <c r="B93" s="37" t="s">
        <v>108</v>
      </c>
      <c r="C93" s="37" t="s">
        <v>486</v>
      </c>
      <c r="D93" s="37" t="s">
        <v>446</v>
      </c>
      <c r="E93" s="37" t="str">
        <f aca="false">CONCATENATE(Table13[[#This Row],[Cloth Code]],Table13[[#This Row],[Shirt type]])</f>
        <v>P-154FS</v>
      </c>
      <c r="F93" s="52"/>
      <c r="G93" s="52"/>
      <c r="H93" s="53"/>
      <c r="I93" s="53" t="n">
        <f aca="false">SUM(F93:H93)</f>
        <v>0</v>
      </c>
      <c r="J93" s="54" t="s">
        <v>20</v>
      </c>
    </row>
    <row r="94" customFormat="false" ht="15" hidden="false" customHeight="false" outlineLevel="0" collapsed="false">
      <c r="A94" s="51" t="n">
        <v>85</v>
      </c>
      <c r="B94" s="37" t="s">
        <v>108</v>
      </c>
      <c r="C94" s="37" t="s">
        <v>487</v>
      </c>
      <c r="D94" s="37" t="s">
        <v>445</v>
      </c>
      <c r="E94" s="37" t="str">
        <f aca="false">CONCATENATE(Table13[[#This Row],[Cloth Code]],Table13[[#This Row],[Shirt type]])</f>
        <v>P-155HS</v>
      </c>
      <c r="F94" s="52" t="n">
        <v>2</v>
      </c>
      <c r="G94" s="52" t="n">
        <v>3</v>
      </c>
      <c r="H94" s="53" t="n">
        <v>2</v>
      </c>
      <c r="I94" s="53" t="n">
        <f aca="false">SUM(F94:H94)</f>
        <v>7</v>
      </c>
      <c r="J94" s="54" t="s">
        <v>20</v>
      </c>
    </row>
    <row r="95" customFormat="false" ht="15" hidden="false" customHeight="false" outlineLevel="0" collapsed="false">
      <c r="A95" s="51" t="n">
        <v>86</v>
      </c>
      <c r="B95" s="37" t="s">
        <v>108</v>
      </c>
      <c r="C95" s="37" t="s">
        <v>487</v>
      </c>
      <c r="D95" s="37" t="s">
        <v>446</v>
      </c>
      <c r="E95" s="37" t="str">
        <f aca="false">CONCATENATE(Table13[[#This Row],[Cloth Code]],Table13[[#This Row],[Shirt type]])</f>
        <v>P-155FS</v>
      </c>
      <c r="F95" s="52" t="n">
        <v>2</v>
      </c>
      <c r="G95" s="52" t="n">
        <v>1</v>
      </c>
      <c r="H95" s="53" t="n">
        <v>1</v>
      </c>
      <c r="I95" s="53" t="n">
        <f aca="false">SUM(F95:H95)</f>
        <v>4</v>
      </c>
      <c r="J95" s="54" t="s">
        <v>20</v>
      </c>
    </row>
    <row r="96" customFormat="false" ht="15" hidden="false" customHeight="false" outlineLevel="0" collapsed="false">
      <c r="A96" s="51" t="n">
        <v>87</v>
      </c>
      <c r="B96" s="37" t="s">
        <v>108</v>
      </c>
      <c r="C96" s="37" t="s">
        <v>488</v>
      </c>
      <c r="D96" s="37" t="s">
        <v>445</v>
      </c>
      <c r="E96" s="37" t="str">
        <f aca="false">CONCATENATE(Table13[[#This Row],[Cloth Code]],Table13[[#This Row],[Shirt type]])</f>
        <v>P-156HS</v>
      </c>
      <c r="F96" s="52"/>
      <c r="G96" s="52"/>
      <c r="H96" s="53"/>
      <c r="I96" s="53" t="n">
        <f aca="false">SUM(F96:H96)</f>
        <v>0</v>
      </c>
      <c r="J96" s="54" t="s">
        <v>20</v>
      </c>
    </row>
    <row r="97" customFormat="false" ht="15" hidden="false" customHeight="false" outlineLevel="0" collapsed="false">
      <c r="A97" s="51" t="n">
        <v>88</v>
      </c>
      <c r="B97" s="37" t="s">
        <v>108</v>
      </c>
      <c r="C97" s="37" t="s">
        <v>488</v>
      </c>
      <c r="D97" s="37" t="s">
        <v>446</v>
      </c>
      <c r="E97" s="37" t="str">
        <f aca="false">CONCATENATE(Table13[[#This Row],[Cloth Code]],Table13[[#This Row],[Shirt type]])</f>
        <v>P-156FS</v>
      </c>
      <c r="F97" s="52"/>
      <c r="G97" s="52" t="n">
        <v>2</v>
      </c>
      <c r="H97" s="53"/>
      <c r="I97" s="53" t="n">
        <f aca="false">SUM(F97:H97)</f>
        <v>2</v>
      </c>
      <c r="J97" s="54" t="s">
        <v>20</v>
      </c>
    </row>
    <row r="98" customFormat="false" ht="15" hidden="false" customHeight="false" outlineLevel="0" collapsed="false">
      <c r="A98" s="51" t="n">
        <v>89</v>
      </c>
      <c r="B98" s="37" t="s">
        <v>108</v>
      </c>
      <c r="C98" s="37" t="s">
        <v>489</v>
      </c>
      <c r="D98" s="37" t="s">
        <v>445</v>
      </c>
      <c r="E98" s="37" t="str">
        <f aca="false">CONCATENATE(Table13[[#This Row],[Cloth Code]],Table13[[#This Row],[Shirt type]])</f>
        <v>P-170HS</v>
      </c>
      <c r="F98" s="52"/>
      <c r="G98" s="52"/>
      <c r="H98" s="53"/>
      <c r="I98" s="53" t="n">
        <f aca="false">SUM(F98:H98)</f>
        <v>0</v>
      </c>
      <c r="J98" s="54" t="s">
        <v>20</v>
      </c>
    </row>
    <row r="99" customFormat="false" ht="15" hidden="false" customHeight="false" outlineLevel="0" collapsed="false">
      <c r="A99" s="51" t="n">
        <v>90</v>
      </c>
      <c r="B99" s="37" t="s">
        <v>108</v>
      </c>
      <c r="C99" s="37" t="s">
        <v>489</v>
      </c>
      <c r="D99" s="37" t="s">
        <v>446</v>
      </c>
      <c r="E99" s="37" t="str">
        <f aca="false">CONCATENATE(Table13[[#This Row],[Cloth Code]],Table13[[#This Row],[Shirt type]])</f>
        <v>P-170FS</v>
      </c>
      <c r="F99" s="52"/>
      <c r="G99" s="52"/>
      <c r="H99" s="53" t="n">
        <v>1</v>
      </c>
      <c r="I99" s="53" t="n">
        <f aca="false">SUM(F99:H99)</f>
        <v>1</v>
      </c>
      <c r="J99" s="54" t="s">
        <v>20</v>
      </c>
    </row>
    <row r="100" customFormat="false" ht="15" hidden="false" customHeight="false" outlineLevel="0" collapsed="false">
      <c r="A100" s="51" t="n">
        <v>91</v>
      </c>
      <c r="B100" s="37" t="s">
        <v>108</v>
      </c>
      <c r="C100" s="37" t="s">
        <v>490</v>
      </c>
      <c r="D100" s="37" t="s">
        <v>445</v>
      </c>
      <c r="E100" s="37" t="str">
        <f aca="false">CONCATENATE(Table13[[#This Row],[Cloth Code]],Table13[[#This Row],[Shirt type]])</f>
        <v>P-176HS</v>
      </c>
      <c r="F100" s="52" t="n">
        <v>1</v>
      </c>
      <c r="G100" s="52"/>
      <c r="H100" s="53" t="n">
        <v>1</v>
      </c>
      <c r="I100" s="53" t="n">
        <f aca="false">SUM(F100:H100)</f>
        <v>2</v>
      </c>
      <c r="J100" s="54" t="s">
        <v>20</v>
      </c>
    </row>
    <row r="101" customFormat="false" ht="15" hidden="false" customHeight="false" outlineLevel="0" collapsed="false">
      <c r="A101" s="51" t="n">
        <v>92</v>
      </c>
      <c r="B101" s="37" t="s">
        <v>108</v>
      </c>
      <c r="C101" s="37" t="s">
        <v>490</v>
      </c>
      <c r="D101" s="37" t="s">
        <v>446</v>
      </c>
      <c r="E101" s="37" t="str">
        <f aca="false">CONCATENATE(Table13[[#This Row],[Cloth Code]],Table13[[#This Row],[Shirt type]])</f>
        <v>P-176FS</v>
      </c>
      <c r="F101" s="52" t="n">
        <v>1</v>
      </c>
      <c r="G101" s="52"/>
      <c r="H101" s="53" t="n">
        <v>1</v>
      </c>
      <c r="I101" s="53" t="n">
        <f aca="false">SUM(F101:H101)</f>
        <v>2</v>
      </c>
      <c r="J101" s="54" t="s">
        <v>20</v>
      </c>
    </row>
    <row r="102" customFormat="false" ht="15" hidden="false" customHeight="false" outlineLevel="0" collapsed="false">
      <c r="A102" s="51" t="n">
        <v>93</v>
      </c>
      <c r="B102" s="37" t="s">
        <v>108</v>
      </c>
      <c r="C102" s="37" t="s">
        <v>490</v>
      </c>
      <c r="D102" s="37" t="s">
        <v>446</v>
      </c>
      <c r="E102" s="37" t="str">
        <f aca="false">CONCATENATE(Table13[[#This Row],[Cloth Code]],Table13[[#This Row],[Shirt type]])</f>
        <v>P-176FS</v>
      </c>
      <c r="F102" s="52"/>
      <c r="G102" s="52"/>
      <c r="H102" s="53" t="n">
        <v>1</v>
      </c>
      <c r="I102" s="53" t="n">
        <f aca="false">SUM(F102:H102)</f>
        <v>1</v>
      </c>
      <c r="J102" s="54" t="s">
        <v>20</v>
      </c>
    </row>
    <row r="103" customFormat="false" ht="15" hidden="false" customHeight="false" outlineLevel="0" collapsed="false">
      <c r="A103" s="51" t="n">
        <v>94</v>
      </c>
      <c r="B103" s="37" t="s">
        <v>108</v>
      </c>
      <c r="C103" s="37" t="s">
        <v>491</v>
      </c>
      <c r="D103" s="37" t="s">
        <v>445</v>
      </c>
      <c r="E103" s="37" t="str">
        <f aca="false">CONCATENATE(Table13[[#This Row],[Cloth Code]],Table13[[#This Row],[Shirt type]])</f>
        <v>P-177HS</v>
      </c>
      <c r="F103" s="52" t="n">
        <v>1</v>
      </c>
      <c r="G103" s="52" t="n">
        <v>0</v>
      </c>
      <c r="H103" s="53" t="n">
        <v>0</v>
      </c>
      <c r="I103" s="53" t="n">
        <f aca="false">SUM(F103:H103)</f>
        <v>1</v>
      </c>
      <c r="J103" s="54" t="s">
        <v>20</v>
      </c>
    </row>
    <row r="104" customFormat="false" ht="15" hidden="false" customHeight="false" outlineLevel="0" collapsed="false">
      <c r="A104" s="51"/>
      <c r="B104" s="37" t="s">
        <v>108</v>
      </c>
      <c r="C104" s="37" t="s">
        <v>491</v>
      </c>
      <c r="D104" s="37" t="s">
        <v>445</v>
      </c>
      <c r="E104" s="37" t="str">
        <f aca="false">CONCATENATE(Table13[[#This Row],[Cloth Code]],Table13[[#This Row],[Shirt type]])</f>
        <v>P-177HS</v>
      </c>
      <c r="F104" s="52"/>
      <c r="G104" s="52" t="n">
        <v>1</v>
      </c>
      <c r="H104" s="53" t="n">
        <v>2</v>
      </c>
      <c r="I104" s="55" t="n">
        <f aca="false">SUM(F104:H104)</f>
        <v>3</v>
      </c>
      <c r="J104" s="54" t="s">
        <v>1</v>
      </c>
    </row>
    <row r="105" customFormat="false" ht="15" hidden="false" customHeight="false" outlineLevel="0" collapsed="false">
      <c r="A105" s="51" t="n">
        <v>95</v>
      </c>
      <c r="B105" s="37" t="s">
        <v>108</v>
      </c>
      <c r="C105" s="37" t="s">
        <v>491</v>
      </c>
      <c r="D105" s="37" t="s">
        <v>446</v>
      </c>
      <c r="E105" s="37" t="str">
        <f aca="false">CONCATENATE(Table13[[#This Row],[Cloth Code]],Table13[[#This Row],[Shirt type]])</f>
        <v>P-177FS</v>
      </c>
      <c r="F105" s="52" t="n">
        <v>1</v>
      </c>
      <c r="G105" s="52"/>
      <c r="H105" s="53" t="n">
        <v>1</v>
      </c>
      <c r="I105" s="53" t="n">
        <f aca="false">SUM(F105:H105)</f>
        <v>2</v>
      </c>
      <c r="J105" s="54" t="s">
        <v>20</v>
      </c>
    </row>
    <row r="106" customFormat="false" ht="15" hidden="false" customHeight="false" outlineLevel="0" collapsed="false">
      <c r="A106" s="51" t="n">
        <v>96</v>
      </c>
      <c r="B106" s="37" t="s">
        <v>108</v>
      </c>
      <c r="C106" s="37" t="s">
        <v>492</v>
      </c>
      <c r="D106" s="37" t="s">
        <v>445</v>
      </c>
      <c r="E106" s="37" t="str">
        <f aca="false">CONCATENATE(Table13[[#This Row],[Cloth Code]],Table13[[#This Row],[Shirt type]])</f>
        <v>P-178HS</v>
      </c>
      <c r="F106" s="52"/>
      <c r="G106" s="52"/>
      <c r="H106" s="53" t="n">
        <v>1</v>
      </c>
      <c r="I106" s="53" t="n">
        <f aca="false">SUM(F106:H106)</f>
        <v>1</v>
      </c>
      <c r="J106" s="54" t="s">
        <v>20</v>
      </c>
    </row>
    <row r="107" customFormat="false" ht="15" hidden="false" customHeight="false" outlineLevel="0" collapsed="false">
      <c r="A107" s="51" t="n">
        <v>97</v>
      </c>
      <c r="B107" s="37" t="s">
        <v>108</v>
      </c>
      <c r="C107" s="37" t="s">
        <v>492</v>
      </c>
      <c r="D107" s="37" t="s">
        <v>446</v>
      </c>
      <c r="E107" s="37" t="str">
        <f aca="false">CONCATENATE(Table13[[#This Row],[Cloth Code]],Table13[[#This Row],[Shirt type]])</f>
        <v>P-178FS</v>
      </c>
      <c r="F107" s="52"/>
      <c r="G107" s="52" t="n">
        <v>1</v>
      </c>
      <c r="H107" s="53"/>
      <c r="I107" s="53" t="n">
        <f aca="false">SUM(F107:H107)</f>
        <v>1</v>
      </c>
      <c r="J107" s="54" t="s">
        <v>20</v>
      </c>
    </row>
    <row r="108" customFormat="false" ht="15" hidden="false" customHeight="false" outlineLevel="0" collapsed="false">
      <c r="A108" s="51" t="n">
        <v>98</v>
      </c>
      <c r="B108" s="37" t="s">
        <v>108</v>
      </c>
      <c r="C108" s="37" t="s">
        <v>492</v>
      </c>
      <c r="D108" s="37" t="s">
        <v>446</v>
      </c>
      <c r="E108" s="37" t="str">
        <f aca="false">CONCATENATE(Table13[[#This Row],[Cloth Code]],Table13[[#This Row],[Shirt type]])</f>
        <v>P-178FS</v>
      </c>
      <c r="F108" s="52" t="n">
        <v>1</v>
      </c>
      <c r="G108" s="52"/>
      <c r="H108" s="53"/>
      <c r="I108" s="53" t="n">
        <f aca="false">SUM(F108:H108)</f>
        <v>1</v>
      </c>
      <c r="J108" s="54" t="s">
        <v>20</v>
      </c>
    </row>
    <row r="109" customFormat="false" ht="15" hidden="false" customHeight="false" outlineLevel="0" collapsed="false">
      <c r="A109" s="51" t="n">
        <v>99</v>
      </c>
      <c r="B109" s="37" t="s">
        <v>43</v>
      </c>
      <c r="C109" s="37" t="s">
        <v>493</v>
      </c>
      <c r="D109" s="37" t="s">
        <v>445</v>
      </c>
      <c r="E109" s="37" t="s">
        <v>272</v>
      </c>
      <c r="F109" s="52"/>
      <c r="G109" s="52" t="n">
        <v>1</v>
      </c>
      <c r="H109" s="53" t="n">
        <v>2</v>
      </c>
      <c r="I109" s="53" t="n">
        <f aca="false">SUM(F109:H109)</f>
        <v>3</v>
      </c>
      <c r="J109" s="54" t="s">
        <v>20</v>
      </c>
    </row>
    <row r="110" customFormat="false" ht="15" hidden="false" customHeight="false" outlineLevel="0" collapsed="false">
      <c r="A110" s="51" t="n">
        <v>100</v>
      </c>
      <c r="B110" s="56" t="s">
        <v>43</v>
      </c>
      <c r="C110" s="56" t="s">
        <v>493</v>
      </c>
      <c r="D110" s="56" t="s">
        <v>446</v>
      </c>
      <c r="E110" s="56" t="s">
        <v>273</v>
      </c>
      <c r="F110" s="57"/>
      <c r="G110" s="57" t="n">
        <v>1</v>
      </c>
      <c r="H110" s="58" t="n">
        <v>2</v>
      </c>
      <c r="I110" s="58" t="n">
        <f aca="false">SUM(F110:H110)</f>
        <v>3</v>
      </c>
      <c r="J110" s="54" t="s">
        <v>20</v>
      </c>
    </row>
    <row r="111" customFormat="false" ht="15" hidden="false" customHeight="false" outlineLevel="0" collapsed="false">
      <c r="A111" s="51" t="n">
        <v>101</v>
      </c>
      <c r="B111" s="56" t="s">
        <v>43</v>
      </c>
      <c r="C111" s="56" t="s">
        <v>494</v>
      </c>
      <c r="D111" s="56" t="s">
        <v>445</v>
      </c>
      <c r="E111" s="56" t="s">
        <v>274</v>
      </c>
      <c r="F111" s="57"/>
      <c r="G111" s="57" t="n">
        <v>1</v>
      </c>
      <c r="H111" s="58" t="n">
        <v>1</v>
      </c>
      <c r="I111" s="58" t="n">
        <f aca="false">SUM(F111:H111)</f>
        <v>2</v>
      </c>
      <c r="J111" s="54" t="s">
        <v>20</v>
      </c>
    </row>
    <row r="112" customFormat="false" ht="15" hidden="false" customHeight="false" outlineLevel="0" collapsed="false">
      <c r="A112" s="51" t="n">
        <v>102</v>
      </c>
      <c r="B112" s="56" t="s">
        <v>43</v>
      </c>
      <c r="C112" s="56" t="s">
        <v>494</v>
      </c>
      <c r="D112" s="56" t="s">
        <v>446</v>
      </c>
      <c r="E112" s="56" t="s">
        <v>275</v>
      </c>
      <c r="F112" s="57"/>
      <c r="G112" s="57"/>
      <c r="H112" s="58" t="n">
        <v>1</v>
      </c>
      <c r="I112" s="58" t="n">
        <f aca="false">SUM(F112:H112)</f>
        <v>1</v>
      </c>
      <c r="J112" s="54" t="s">
        <v>20</v>
      </c>
    </row>
    <row r="113" customFormat="false" ht="15" hidden="false" customHeight="false" outlineLevel="0" collapsed="false">
      <c r="A113" s="51" t="n">
        <v>103</v>
      </c>
      <c r="B113" s="56" t="s">
        <v>43</v>
      </c>
      <c r="C113" s="56" t="s">
        <v>495</v>
      </c>
      <c r="D113" s="56" t="s">
        <v>445</v>
      </c>
      <c r="E113" s="56" t="s">
        <v>276</v>
      </c>
      <c r="F113" s="57" t="n">
        <v>1</v>
      </c>
      <c r="G113" s="57"/>
      <c r="H113" s="58"/>
      <c r="I113" s="58" t="n">
        <f aca="false">SUM(F113:H113)</f>
        <v>1</v>
      </c>
      <c r="J113" s="54" t="s">
        <v>20</v>
      </c>
    </row>
    <row r="114" customFormat="false" ht="15" hidden="false" customHeight="false" outlineLevel="0" collapsed="false">
      <c r="A114" s="51" t="n">
        <v>104</v>
      </c>
      <c r="B114" s="56" t="s">
        <v>43</v>
      </c>
      <c r="C114" s="56" t="s">
        <v>495</v>
      </c>
      <c r="D114" s="56" t="s">
        <v>446</v>
      </c>
      <c r="E114" s="56" t="s">
        <v>277</v>
      </c>
      <c r="F114" s="57" t="n">
        <v>2</v>
      </c>
      <c r="G114" s="57" t="n">
        <v>1</v>
      </c>
      <c r="H114" s="58" t="n">
        <v>1</v>
      </c>
      <c r="I114" s="58" t="n">
        <f aca="false">SUM(F114:H114)</f>
        <v>4</v>
      </c>
      <c r="J114" s="54" t="s">
        <v>20</v>
      </c>
    </row>
    <row r="115" customFormat="false" ht="15" hidden="false" customHeight="false" outlineLevel="0" collapsed="false">
      <c r="A115" s="51" t="n">
        <v>105</v>
      </c>
      <c r="B115" s="56" t="s">
        <v>43</v>
      </c>
      <c r="C115" s="56" t="s">
        <v>496</v>
      </c>
      <c r="D115" s="56" t="s">
        <v>445</v>
      </c>
      <c r="E115" s="56" t="s">
        <v>278</v>
      </c>
      <c r="F115" s="57"/>
      <c r="G115" s="57" t="n">
        <v>1</v>
      </c>
      <c r="H115" s="58" t="n">
        <v>1</v>
      </c>
      <c r="I115" s="58" t="n">
        <f aca="false">SUM(F115:H115)</f>
        <v>2</v>
      </c>
      <c r="J115" s="54" t="s">
        <v>20</v>
      </c>
    </row>
    <row r="116" customFormat="false" ht="15" hidden="false" customHeight="false" outlineLevel="0" collapsed="false">
      <c r="A116" s="51" t="n">
        <v>106</v>
      </c>
      <c r="B116" s="56" t="s">
        <v>43</v>
      </c>
      <c r="C116" s="56" t="s">
        <v>496</v>
      </c>
      <c r="D116" s="56" t="s">
        <v>446</v>
      </c>
      <c r="E116" s="56" t="s">
        <v>279</v>
      </c>
      <c r="F116" s="57" t="n">
        <v>1</v>
      </c>
      <c r="G116" s="57" t="n">
        <v>1</v>
      </c>
      <c r="H116" s="58" t="n">
        <v>1</v>
      </c>
      <c r="I116" s="58" t="n">
        <f aca="false">SUM(F116:H116)</f>
        <v>3</v>
      </c>
      <c r="J116" s="54" t="s">
        <v>20</v>
      </c>
    </row>
    <row r="117" customFormat="false" ht="15" hidden="false" customHeight="false" outlineLevel="0" collapsed="false">
      <c r="A117" s="51" t="n">
        <v>107</v>
      </c>
      <c r="B117" s="56" t="s">
        <v>43</v>
      </c>
      <c r="C117" s="56" t="s">
        <v>497</v>
      </c>
      <c r="D117" s="56" t="s">
        <v>445</v>
      </c>
      <c r="E117" s="56" t="s">
        <v>280</v>
      </c>
      <c r="F117" s="57"/>
      <c r="G117" s="57" t="n">
        <v>1</v>
      </c>
      <c r="H117" s="58" t="n">
        <v>2</v>
      </c>
      <c r="I117" s="58" t="n">
        <f aca="false">SUM(F117:H117)</f>
        <v>3</v>
      </c>
      <c r="J117" s="54" t="s">
        <v>20</v>
      </c>
    </row>
    <row r="118" customFormat="false" ht="15" hidden="false" customHeight="false" outlineLevel="0" collapsed="false">
      <c r="A118" s="51" t="n">
        <v>108</v>
      </c>
      <c r="B118" s="56" t="s">
        <v>43</v>
      </c>
      <c r="C118" s="56" t="s">
        <v>497</v>
      </c>
      <c r="D118" s="56" t="s">
        <v>446</v>
      </c>
      <c r="E118" s="56" t="s">
        <v>281</v>
      </c>
      <c r="F118" s="57" t="n">
        <v>1</v>
      </c>
      <c r="G118" s="57" t="n">
        <v>1</v>
      </c>
      <c r="H118" s="58" t="n">
        <v>2</v>
      </c>
      <c r="I118" s="58" t="n">
        <f aca="false">SUM(F118:H118)</f>
        <v>4</v>
      </c>
      <c r="J118" s="54" t="s">
        <v>20</v>
      </c>
    </row>
    <row r="119" customFormat="false" ht="15" hidden="false" customHeight="false" outlineLevel="0" collapsed="false">
      <c r="A119" s="51" t="n">
        <v>109</v>
      </c>
      <c r="B119" s="56" t="s">
        <v>43</v>
      </c>
      <c r="C119" s="37" t="s">
        <v>498</v>
      </c>
      <c r="D119" s="56" t="s">
        <v>445</v>
      </c>
      <c r="E119" s="56" t="str">
        <f aca="false">CONCATENATE(Table13[[#This Row],[Cloth Code]],Table13[[#This Row],[Shirt type]])</f>
        <v>S-113HS</v>
      </c>
      <c r="F119" s="52"/>
      <c r="G119" s="52"/>
      <c r="H119" s="53"/>
      <c r="I119" s="53" t="n">
        <f aca="false">SUM(F119:H119)</f>
        <v>0</v>
      </c>
      <c r="J119" s="54" t="s">
        <v>20</v>
      </c>
    </row>
    <row r="120" customFormat="false" ht="15" hidden="false" customHeight="false" outlineLevel="0" collapsed="false">
      <c r="A120" s="51" t="n">
        <v>110</v>
      </c>
      <c r="B120" s="56" t="s">
        <v>43</v>
      </c>
      <c r="C120" s="37" t="s">
        <v>498</v>
      </c>
      <c r="D120" s="56" t="s">
        <v>446</v>
      </c>
      <c r="E120" s="56" t="str">
        <f aca="false">CONCATENATE(Table13[[#This Row],[Cloth Code]],Table13[[#This Row],[Shirt type]])</f>
        <v>S-113FS</v>
      </c>
      <c r="F120" s="52"/>
      <c r="G120" s="52"/>
      <c r="H120" s="53" t="n">
        <v>3</v>
      </c>
      <c r="I120" s="53" t="n">
        <f aca="false">SUM(F120:H120)</f>
        <v>3</v>
      </c>
      <c r="J120" s="54" t="s">
        <v>20</v>
      </c>
    </row>
    <row r="121" customFormat="false" ht="15" hidden="false" customHeight="false" outlineLevel="0" collapsed="false">
      <c r="A121" s="51" t="n">
        <v>111</v>
      </c>
      <c r="B121" s="56" t="s">
        <v>43</v>
      </c>
      <c r="C121" s="37" t="s">
        <v>499</v>
      </c>
      <c r="D121" s="56" t="s">
        <v>445</v>
      </c>
      <c r="E121" s="56" t="str">
        <f aca="false">CONCATENATE(Table13[[#This Row],[Cloth Code]],Table13[[#This Row],[Shirt type]])</f>
        <v>S-114HS</v>
      </c>
      <c r="F121" s="52"/>
      <c r="G121" s="52"/>
      <c r="H121" s="53"/>
      <c r="I121" s="53" t="n">
        <f aca="false">SUM(F121:H121)</f>
        <v>0</v>
      </c>
      <c r="J121" s="54" t="s">
        <v>20</v>
      </c>
    </row>
    <row r="122" customFormat="false" ht="15" hidden="false" customHeight="false" outlineLevel="0" collapsed="false">
      <c r="A122" s="51" t="n">
        <v>112</v>
      </c>
      <c r="B122" s="56" t="s">
        <v>43</v>
      </c>
      <c r="C122" s="37" t="s">
        <v>499</v>
      </c>
      <c r="D122" s="56" t="s">
        <v>446</v>
      </c>
      <c r="E122" s="56" t="str">
        <f aca="false">CONCATENATE(Table13[[#This Row],[Cloth Code]],Table13[[#This Row],[Shirt type]])</f>
        <v>S-114FS</v>
      </c>
      <c r="F122" s="52"/>
      <c r="G122" s="52" t="n">
        <v>1</v>
      </c>
      <c r="H122" s="53"/>
      <c r="I122" s="53" t="n">
        <f aca="false">SUM(F122:H122)</f>
        <v>1</v>
      </c>
      <c r="J122" s="54" t="s">
        <v>20</v>
      </c>
    </row>
    <row r="123" customFormat="false" ht="15" hidden="false" customHeight="false" outlineLevel="0" collapsed="false">
      <c r="A123" s="51" t="n">
        <v>113</v>
      </c>
      <c r="B123" s="56" t="s">
        <v>43</v>
      </c>
      <c r="C123" s="37" t="s">
        <v>500</v>
      </c>
      <c r="D123" s="56" t="s">
        <v>445</v>
      </c>
      <c r="E123" s="56" t="s">
        <v>286</v>
      </c>
      <c r="F123" s="52"/>
      <c r="G123" s="52" t="n">
        <v>3</v>
      </c>
      <c r="H123" s="53" t="n">
        <v>1</v>
      </c>
      <c r="I123" s="53" t="n">
        <f aca="false">SUM(F123:H123)</f>
        <v>4</v>
      </c>
      <c r="J123" s="54" t="s">
        <v>20</v>
      </c>
    </row>
    <row r="124" customFormat="false" ht="15" hidden="false" customHeight="false" outlineLevel="0" collapsed="false">
      <c r="A124" s="51" t="n">
        <v>114</v>
      </c>
      <c r="B124" s="56" t="s">
        <v>43</v>
      </c>
      <c r="C124" s="37" t="s">
        <v>500</v>
      </c>
      <c r="D124" s="56" t="s">
        <v>446</v>
      </c>
      <c r="E124" s="56" t="s">
        <v>287</v>
      </c>
      <c r="F124" s="52"/>
      <c r="G124" s="52" t="n">
        <v>3</v>
      </c>
      <c r="H124" s="53"/>
      <c r="I124" s="53" t="n">
        <f aca="false">SUM(F124:H124)</f>
        <v>3</v>
      </c>
      <c r="J124" s="54" t="s">
        <v>20</v>
      </c>
    </row>
    <row r="125" customFormat="false" ht="15" hidden="false" customHeight="false" outlineLevel="0" collapsed="false">
      <c r="A125" s="51" t="n">
        <v>115</v>
      </c>
      <c r="B125" s="56" t="s">
        <v>43</v>
      </c>
      <c r="C125" s="37" t="s">
        <v>501</v>
      </c>
      <c r="D125" s="56" t="s">
        <v>445</v>
      </c>
      <c r="E125" s="56" t="s">
        <v>288</v>
      </c>
      <c r="F125" s="52"/>
      <c r="G125" s="52"/>
      <c r="H125" s="53" t="n">
        <v>1</v>
      </c>
      <c r="I125" s="53" t="n">
        <f aca="false">SUM(F125:H125)</f>
        <v>1</v>
      </c>
      <c r="J125" s="54" t="s">
        <v>20</v>
      </c>
    </row>
    <row r="126" customFormat="false" ht="15" hidden="false" customHeight="false" outlineLevel="0" collapsed="false">
      <c r="A126" s="51" t="n">
        <v>116</v>
      </c>
      <c r="B126" s="56" t="s">
        <v>43</v>
      </c>
      <c r="C126" s="37" t="s">
        <v>501</v>
      </c>
      <c r="D126" s="56" t="s">
        <v>446</v>
      </c>
      <c r="E126" s="56" t="s">
        <v>289</v>
      </c>
      <c r="F126" s="52"/>
      <c r="G126" s="52"/>
      <c r="H126" s="53"/>
      <c r="I126" s="53" t="n">
        <f aca="false">SUM(F126:H126)</f>
        <v>0</v>
      </c>
      <c r="J126" s="54" t="s">
        <v>20</v>
      </c>
    </row>
    <row r="127" customFormat="false" ht="15" hidden="false" customHeight="false" outlineLevel="0" collapsed="false">
      <c r="A127" s="51" t="n">
        <v>117</v>
      </c>
      <c r="B127" s="56" t="s">
        <v>43</v>
      </c>
      <c r="C127" s="37" t="s">
        <v>502</v>
      </c>
      <c r="D127" s="37" t="s">
        <v>445</v>
      </c>
      <c r="E127" s="56" t="s">
        <v>290</v>
      </c>
      <c r="F127" s="52"/>
      <c r="G127" s="52" t="n">
        <v>1</v>
      </c>
      <c r="H127" s="53" t="n">
        <v>1</v>
      </c>
      <c r="I127" s="53" t="n">
        <f aca="false">SUM(F127:H127)</f>
        <v>2</v>
      </c>
      <c r="J127" s="54" t="s">
        <v>20</v>
      </c>
    </row>
    <row r="128" customFormat="false" ht="15" hidden="false" customHeight="false" outlineLevel="0" collapsed="false">
      <c r="A128" s="51" t="n">
        <v>118</v>
      </c>
      <c r="B128" s="56" t="s">
        <v>43</v>
      </c>
      <c r="C128" s="37" t="s">
        <v>502</v>
      </c>
      <c r="D128" s="37" t="s">
        <v>446</v>
      </c>
      <c r="E128" s="56" t="s">
        <v>291</v>
      </c>
      <c r="F128" s="52"/>
      <c r="G128" s="52"/>
      <c r="H128" s="53"/>
      <c r="I128" s="53" t="n">
        <f aca="false">SUM(F128:H128)</f>
        <v>0</v>
      </c>
      <c r="J128" s="54" t="s">
        <v>20</v>
      </c>
    </row>
    <row r="129" customFormat="false" ht="15" hidden="false" customHeight="false" outlineLevel="0" collapsed="false">
      <c r="A129" s="51" t="n">
        <v>119</v>
      </c>
      <c r="B129" s="56" t="s">
        <v>43</v>
      </c>
      <c r="C129" s="37" t="s">
        <v>503</v>
      </c>
      <c r="D129" s="37" t="s">
        <v>445</v>
      </c>
      <c r="E129" s="56" t="s">
        <v>292</v>
      </c>
      <c r="F129" s="52"/>
      <c r="G129" s="52" t="n">
        <v>1</v>
      </c>
      <c r="H129" s="53" t="n">
        <v>2</v>
      </c>
      <c r="I129" s="53" t="n">
        <f aca="false">SUM(F129:H129)</f>
        <v>3</v>
      </c>
      <c r="J129" s="54" t="s">
        <v>20</v>
      </c>
    </row>
    <row r="130" customFormat="false" ht="15" hidden="false" customHeight="false" outlineLevel="0" collapsed="false">
      <c r="A130" s="51" t="n">
        <v>120</v>
      </c>
      <c r="B130" s="56" t="s">
        <v>43</v>
      </c>
      <c r="C130" s="37" t="s">
        <v>503</v>
      </c>
      <c r="D130" s="37" t="s">
        <v>446</v>
      </c>
      <c r="E130" s="56" t="s">
        <v>293</v>
      </c>
      <c r="F130" s="52"/>
      <c r="G130" s="52" t="n">
        <v>1</v>
      </c>
      <c r="H130" s="53"/>
      <c r="I130" s="53" t="n">
        <f aca="false">SUM(F130:H130)</f>
        <v>1</v>
      </c>
      <c r="J130" s="54" t="s">
        <v>20</v>
      </c>
    </row>
    <row r="131" customFormat="false" ht="15" hidden="false" customHeight="false" outlineLevel="0" collapsed="false">
      <c r="A131" s="51" t="n">
        <v>121</v>
      </c>
      <c r="B131" s="56" t="s">
        <v>43</v>
      </c>
      <c r="C131" s="56" t="s">
        <v>504</v>
      </c>
      <c r="D131" s="56" t="s">
        <v>445</v>
      </c>
      <c r="E131" s="56" t="s">
        <v>294</v>
      </c>
      <c r="F131" s="57"/>
      <c r="G131" s="57" t="n">
        <v>1</v>
      </c>
      <c r="H131" s="58" t="n">
        <v>1</v>
      </c>
      <c r="I131" s="58" t="n">
        <f aca="false">SUM(F131:H131)</f>
        <v>2</v>
      </c>
      <c r="J131" s="54" t="s">
        <v>20</v>
      </c>
    </row>
    <row r="132" customFormat="false" ht="15" hidden="false" customHeight="false" outlineLevel="0" collapsed="false">
      <c r="A132" s="51" t="n">
        <v>122</v>
      </c>
      <c r="B132" s="56" t="s">
        <v>43</v>
      </c>
      <c r="C132" s="56" t="s">
        <v>504</v>
      </c>
      <c r="D132" s="56" t="s">
        <v>446</v>
      </c>
      <c r="E132" s="56" t="s">
        <v>295</v>
      </c>
      <c r="F132" s="57"/>
      <c r="G132" s="57" t="n">
        <v>1</v>
      </c>
      <c r="H132" s="58" t="n">
        <v>1</v>
      </c>
      <c r="I132" s="58" t="n">
        <f aca="false">SUM(F132:H132)</f>
        <v>2</v>
      </c>
      <c r="J132" s="54" t="s">
        <v>20</v>
      </c>
    </row>
    <row r="133" customFormat="false" ht="15" hidden="false" customHeight="false" outlineLevel="0" collapsed="false">
      <c r="A133" s="51" t="n">
        <v>123</v>
      </c>
      <c r="B133" s="56" t="s">
        <v>43</v>
      </c>
      <c r="C133" s="56" t="s">
        <v>505</v>
      </c>
      <c r="D133" s="56" t="s">
        <v>445</v>
      </c>
      <c r="E133" s="56" t="s">
        <v>296</v>
      </c>
      <c r="F133" s="57"/>
      <c r="G133" s="57"/>
      <c r="H133" s="58" t="n">
        <v>1</v>
      </c>
      <c r="I133" s="58" t="n">
        <f aca="false">SUM(F133:H133)</f>
        <v>1</v>
      </c>
      <c r="J133" s="54" t="s">
        <v>20</v>
      </c>
    </row>
    <row r="134" customFormat="false" ht="15" hidden="false" customHeight="false" outlineLevel="0" collapsed="false">
      <c r="A134" s="51" t="n">
        <v>124</v>
      </c>
      <c r="B134" s="56" t="s">
        <v>43</v>
      </c>
      <c r="C134" s="56" t="s">
        <v>505</v>
      </c>
      <c r="D134" s="56" t="s">
        <v>446</v>
      </c>
      <c r="E134" s="56" t="s">
        <v>297</v>
      </c>
      <c r="F134" s="57"/>
      <c r="G134" s="57"/>
      <c r="H134" s="58" t="n">
        <v>1</v>
      </c>
      <c r="I134" s="58" t="n">
        <f aca="false">SUM(F134:H134)</f>
        <v>1</v>
      </c>
      <c r="J134" s="54" t="s">
        <v>20</v>
      </c>
    </row>
    <row r="135" customFormat="false" ht="15" hidden="false" customHeight="false" outlineLevel="0" collapsed="false">
      <c r="A135" s="51" t="n">
        <v>125</v>
      </c>
      <c r="B135" s="56" t="s">
        <v>43</v>
      </c>
      <c r="C135" s="56" t="s">
        <v>506</v>
      </c>
      <c r="D135" s="56" t="s">
        <v>445</v>
      </c>
      <c r="E135" s="56" t="s">
        <v>298</v>
      </c>
      <c r="F135" s="57" t="n">
        <v>1</v>
      </c>
      <c r="G135" s="57"/>
      <c r="H135" s="58" t="n">
        <v>1</v>
      </c>
      <c r="I135" s="58" t="n">
        <f aca="false">SUM(F135:H135)</f>
        <v>2</v>
      </c>
      <c r="J135" s="54" t="s">
        <v>20</v>
      </c>
    </row>
    <row r="136" customFormat="false" ht="15" hidden="false" customHeight="false" outlineLevel="0" collapsed="false">
      <c r="A136" s="51" t="n">
        <v>126</v>
      </c>
      <c r="B136" s="56" t="s">
        <v>43</v>
      </c>
      <c r="C136" s="56" t="s">
        <v>506</v>
      </c>
      <c r="D136" s="56" t="s">
        <v>446</v>
      </c>
      <c r="E136" s="56" t="s">
        <v>299</v>
      </c>
      <c r="F136" s="57" t="n">
        <v>2</v>
      </c>
      <c r="G136" s="57" t="n">
        <v>0</v>
      </c>
      <c r="H136" s="58" t="n">
        <v>0</v>
      </c>
      <c r="I136" s="58" t="n">
        <f aca="false">SUM(F136:H136)</f>
        <v>2</v>
      </c>
      <c r="J136" s="54" t="s">
        <v>20</v>
      </c>
    </row>
    <row r="137" customFormat="false" ht="15" hidden="false" customHeight="false" outlineLevel="0" collapsed="false">
      <c r="A137" s="51"/>
      <c r="B137" s="56" t="s">
        <v>43</v>
      </c>
      <c r="C137" s="56" t="s">
        <v>506</v>
      </c>
      <c r="D137" s="56" t="s">
        <v>446</v>
      </c>
      <c r="E137" s="56" t="s">
        <v>299</v>
      </c>
      <c r="F137" s="52"/>
      <c r="G137" s="52" t="n">
        <v>2</v>
      </c>
      <c r="H137" s="53" t="n">
        <v>1</v>
      </c>
      <c r="I137" s="55" t="n">
        <f aca="false">SUM(F137:H137)</f>
        <v>3</v>
      </c>
      <c r="J137" s="54" t="s">
        <v>1</v>
      </c>
    </row>
    <row r="138" customFormat="false" ht="15" hidden="false" customHeight="false" outlineLevel="0" collapsed="false">
      <c r="A138" s="51" t="n">
        <v>127</v>
      </c>
      <c r="B138" s="56" t="s">
        <v>43</v>
      </c>
      <c r="C138" s="56" t="s">
        <v>507</v>
      </c>
      <c r="D138" s="56" t="s">
        <v>445</v>
      </c>
      <c r="E138" s="56" t="s">
        <v>300</v>
      </c>
      <c r="F138" s="57"/>
      <c r="G138" s="57"/>
      <c r="H138" s="58"/>
      <c r="I138" s="58" t="n">
        <f aca="false">SUM(F138:H138)</f>
        <v>0</v>
      </c>
      <c r="J138" s="54" t="s">
        <v>20</v>
      </c>
    </row>
    <row r="139" customFormat="false" ht="15" hidden="false" customHeight="false" outlineLevel="0" collapsed="false">
      <c r="A139" s="51" t="n">
        <v>128</v>
      </c>
      <c r="B139" s="56" t="s">
        <v>43</v>
      </c>
      <c r="C139" s="56" t="s">
        <v>507</v>
      </c>
      <c r="D139" s="56" t="s">
        <v>446</v>
      </c>
      <c r="E139" s="56" t="s">
        <v>301</v>
      </c>
      <c r="F139" s="57"/>
      <c r="G139" s="57"/>
      <c r="H139" s="58" t="n">
        <v>1</v>
      </c>
      <c r="I139" s="58" t="n">
        <f aca="false">SUM(F139:H139)</f>
        <v>1</v>
      </c>
      <c r="J139" s="54" t="s">
        <v>20</v>
      </c>
    </row>
    <row r="140" customFormat="false" ht="15" hidden="false" customHeight="false" outlineLevel="0" collapsed="false">
      <c r="A140" s="51" t="n">
        <v>129</v>
      </c>
      <c r="B140" s="56" t="s">
        <v>43</v>
      </c>
      <c r="C140" s="56" t="s">
        <v>508</v>
      </c>
      <c r="D140" s="56" t="s">
        <v>445</v>
      </c>
      <c r="E140" s="56" t="str">
        <f aca="false">CONCATENATE(Table13[[#This Row],[Cloth Code]],Table13[[#This Row],[Shirt type]])</f>
        <v>S-126HS</v>
      </c>
      <c r="F140" s="57"/>
      <c r="G140" s="57"/>
      <c r="H140" s="58"/>
      <c r="I140" s="58" t="n">
        <f aca="false">SUM(F140:H140)</f>
        <v>0</v>
      </c>
      <c r="J140" s="54" t="s">
        <v>20</v>
      </c>
    </row>
    <row r="141" customFormat="false" ht="15" hidden="false" customHeight="false" outlineLevel="0" collapsed="false">
      <c r="A141" s="51" t="n">
        <v>130</v>
      </c>
      <c r="B141" s="56" t="s">
        <v>43</v>
      </c>
      <c r="C141" s="56" t="s">
        <v>508</v>
      </c>
      <c r="D141" s="56" t="s">
        <v>446</v>
      </c>
      <c r="E141" s="56" t="str">
        <f aca="false">CONCATENATE(Table13[[#This Row],[Cloth Code]],Table13[[#This Row],[Shirt type]])</f>
        <v>S-126FS</v>
      </c>
      <c r="F141" s="57"/>
      <c r="G141" s="57" t="n">
        <v>1</v>
      </c>
      <c r="H141" s="58"/>
      <c r="I141" s="58" t="n">
        <f aca="false">SUM(F141:H141)</f>
        <v>1</v>
      </c>
      <c r="J141" s="54" t="s">
        <v>20</v>
      </c>
    </row>
    <row r="142" customFormat="false" ht="15" hidden="false" customHeight="false" outlineLevel="0" collapsed="false">
      <c r="A142" s="51" t="n">
        <v>131</v>
      </c>
      <c r="B142" s="56" t="s">
        <v>43</v>
      </c>
      <c r="C142" s="56" t="s">
        <v>509</v>
      </c>
      <c r="D142" s="56" t="s">
        <v>445</v>
      </c>
      <c r="E142" s="56" t="str">
        <f aca="false">CONCATENATE(Table13[[#This Row],[Cloth Code]],Table13[[#This Row],[Shirt type]])</f>
        <v>S-127HS</v>
      </c>
      <c r="F142" s="57"/>
      <c r="G142" s="57" t="n">
        <v>1</v>
      </c>
      <c r="H142" s="58" t="n">
        <v>1</v>
      </c>
      <c r="I142" s="58" t="n">
        <f aca="false">SUM(F142:H142)</f>
        <v>2</v>
      </c>
      <c r="J142" s="54" t="s">
        <v>20</v>
      </c>
    </row>
    <row r="143" customFormat="false" ht="15" hidden="false" customHeight="false" outlineLevel="0" collapsed="false">
      <c r="A143" s="51" t="n">
        <v>132</v>
      </c>
      <c r="B143" s="56" t="s">
        <v>43</v>
      </c>
      <c r="C143" s="56" t="s">
        <v>509</v>
      </c>
      <c r="D143" s="56" t="s">
        <v>446</v>
      </c>
      <c r="E143" s="56" t="str">
        <f aca="false">CONCATENATE(Table13[[#This Row],[Cloth Code]],Table13[[#This Row],[Shirt type]])</f>
        <v>S-127FS</v>
      </c>
      <c r="F143" s="57"/>
      <c r="G143" s="57" t="n">
        <v>1</v>
      </c>
      <c r="H143" s="58"/>
      <c r="I143" s="58" t="n">
        <f aca="false">SUM(F143:H143)</f>
        <v>1</v>
      </c>
      <c r="J143" s="54" t="s">
        <v>20</v>
      </c>
    </row>
    <row r="144" customFormat="false" ht="15" hidden="false" customHeight="false" outlineLevel="0" collapsed="false">
      <c r="A144" s="51" t="n">
        <v>133</v>
      </c>
      <c r="B144" s="37" t="s">
        <v>43</v>
      </c>
      <c r="C144" s="37" t="s">
        <v>510</v>
      </c>
      <c r="D144" s="37" t="s">
        <v>445</v>
      </c>
      <c r="E144" s="37" t="s">
        <v>306</v>
      </c>
      <c r="F144" s="52" t="n">
        <v>1</v>
      </c>
      <c r="G144" s="52" t="n">
        <v>1</v>
      </c>
      <c r="H144" s="53" t="n">
        <v>1</v>
      </c>
      <c r="I144" s="53" t="n">
        <f aca="false">SUM(F144:H144)</f>
        <v>3</v>
      </c>
      <c r="J144" s="54" t="s">
        <v>20</v>
      </c>
    </row>
    <row r="145" customFormat="false" ht="15" hidden="false" customHeight="false" outlineLevel="0" collapsed="false">
      <c r="A145" s="51" t="n">
        <v>134</v>
      </c>
      <c r="B145" s="37" t="s">
        <v>43</v>
      </c>
      <c r="C145" s="37" t="s">
        <v>510</v>
      </c>
      <c r="D145" s="37" t="s">
        <v>446</v>
      </c>
      <c r="E145" s="37" t="s">
        <v>307</v>
      </c>
      <c r="F145" s="52" t="n">
        <v>2</v>
      </c>
      <c r="G145" s="52"/>
      <c r="H145" s="53" t="n">
        <v>1</v>
      </c>
      <c r="I145" s="53" t="n">
        <f aca="false">SUM(F145:H145)</f>
        <v>3</v>
      </c>
      <c r="J145" s="54" t="s">
        <v>20</v>
      </c>
    </row>
    <row r="146" customFormat="false" ht="15" hidden="false" customHeight="false" outlineLevel="0" collapsed="false">
      <c r="A146" s="51" t="n">
        <v>135</v>
      </c>
      <c r="B146" s="37" t="s">
        <v>43</v>
      </c>
      <c r="C146" s="37" t="s">
        <v>511</v>
      </c>
      <c r="D146" s="37" t="s">
        <v>445</v>
      </c>
      <c r="E146" s="37" t="s">
        <v>308</v>
      </c>
      <c r="F146" s="52"/>
      <c r="G146" s="52"/>
      <c r="H146" s="53"/>
      <c r="I146" s="53" t="n">
        <f aca="false">SUM(F146:H146)</f>
        <v>0</v>
      </c>
      <c r="J146" s="54" t="s">
        <v>20</v>
      </c>
    </row>
    <row r="147" customFormat="false" ht="15" hidden="false" customHeight="false" outlineLevel="0" collapsed="false">
      <c r="A147" s="51" t="n">
        <v>136</v>
      </c>
      <c r="B147" s="37" t="s">
        <v>43</v>
      </c>
      <c r="C147" s="37" t="s">
        <v>511</v>
      </c>
      <c r="D147" s="37" t="s">
        <v>446</v>
      </c>
      <c r="E147" s="37" t="s">
        <v>309</v>
      </c>
      <c r="F147" s="52"/>
      <c r="G147" s="52" t="n">
        <v>1</v>
      </c>
      <c r="H147" s="53" t="n">
        <v>1</v>
      </c>
      <c r="I147" s="53" t="n">
        <f aca="false">SUM(F147:H147)</f>
        <v>2</v>
      </c>
      <c r="J147" s="54" t="s">
        <v>20</v>
      </c>
    </row>
    <row r="148" customFormat="false" ht="15" hidden="false" customHeight="false" outlineLevel="0" collapsed="false">
      <c r="A148" s="51" t="n">
        <v>137</v>
      </c>
      <c r="B148" s="56" t="s">
        <v>43</v>
      </c>
      <c r="C148" s="37" t="s">
        <v>512</v>
      </c>
      <c r="D148" s="37" t="s">
        <v>445</v>
      </c>
      <c r="E148" s="37" t="s">
        <v>310</v>
      </c>
      <c r="F148" s="57"/>
      <c r="G148" s="57" t="n">
        <v>1</v>
      </c>
      <c r="H148" s="58" t="n">
        <v>1</v>
      </c>
      <c r="I148" s="58" t="n">
        <f aca="false">SUM(F148:H148)</f>
        <v>2</v>
      </c>
      <c r="J148" s="54" t="s">
        <v>20</v>
      </c>
    </row>
    <row r="149" customFormat="false" ht="15" hidden="false" customHeight="false" outlineLevel="0" collapsed="false">
      <c r="A149" s="51" t="n">
        <v>138</v>
      </c>
      <c r="B149" s="56" t="s">
        <v>43</v>
      </c>
      <c r="C149" s="37" t="s">
        <v>512</v>
      </c>
      <c r="D149" s="37" t="s">
        <v>446</v>
      </c>
      <c r="E149" s="37" t="s">
        <v>311</v>
      </c>
      <c r="F149" s="52"/>
      <c r="G149" s="52" t="n">
        <v>1</v>
      </c>
      <c r="H149" s="53" t="n">
        <v>1</v>
      </c>
      <c r="I149" s="53" t="n">
        <f aca="false">SUM(F149:H149)</f>
        <v>2</v>
      </c>
      <c r="J149" s="54" t="s">
        <v>20</v>
      </c>
    </row>
    <row r="150" customFormat="false" ht="15" hidden="false" customHeight="false" outlineLevel="0" collapsed="false">
      <c r="A150" s="51" t="n">
        <v>139</v>
      </c>
      <c r="B150" s="56" t="s">
        <v>43</v>
      </c>
      <c r="C150" s="37" t="s">
        <v>513</v>
      </c>
      <c r="D150" s="37" t="s">
        <v>445</v>
      </c>
      <c r="E150" s="37" t="s">
        <v>312</v>
      </c>
      <c r="F150" s="52"/>
      <c r="G150" s="52" t="n">
        <v>1</v>
      </c>
      <c r="H150" s="53" t="n">
        <v>1</v>
      </c>
      <c r="I150" s="53" t="n">
        <f aca="false">SUM(F150:H150)</f>
        <v>2</v>
      </c>
      <c r="J150" s="54" t="s">
        <v>20</v>
      </c>
    </row>
    <row r="151" customFormat="false" ht="15" hidden="false" customHeight="false" outlineLevel="0" collapsed="false">
      <c r="A151" s="51" t="n">
        <v>140</v>
      </c>
      <c r="B151" s="56" t="s">
        <v>43</v>
      </c>
      <c r="C151" s="37" t="s">
        <v>513</v>
      </c>
      <c r="D151" s="37" t="s">
        <v>446</v>
      </c>
      <c r="E151" s="37" t="s">
        <v>313</v>
      </c>
      <c r="F151" s="52"/>
      <c r="G151" s="52" t="n">
        <v>1</v>
      </c>
      <c r="H151" s="53" t="n">
        <v>1</v>
      </c>
      <c r="I151" s="53" t="n">
        <f aca="false">SUM(F151:H151)</f>
        <v>2</v>
      </c>
      <c r="J151" s="54" t="s">
        <v>20</v>
      </c>
    </row>
    <row r="152" customFormat="false" ht="15" hidden="false" customHeight="false" outlineLevel="0" collapsed="false">
      <c r="A152" s="51" t="n">
        <v>141</v>
      </c>
      <c r="B152" s="56" t="s">
        <v>43</v>
      </c>
      <c r="C152" s="56" t="s">
        <v>514</v>
      </c>
      <c r="D152" s="56" t="s">
        <v>445</v>
      </c>
      <c r="E152" s="56" t="s">
        <v>314</v>
      </c>
      <c r="F152" s="57"/>
      <c r="G152" s="57" t="n">
        <v>1</v>
      </c>
      <c r="H152" s="58" t="n">
        <v>1</v>
      </c>
      <c r="I152" s="58" t="n">
        <f aca="false">SUM(F152:H152)</f>
        <v>2</v>
      </c>
      <c r="J152" s="54" t="s">
        <v>20</v>
      </c>
    </row>
    <row r="153" customFormat="false" ht="15" hidden="false" customHeight="false" outlineLevel="0" collapsed="false">
      <c r="A153" s="51" t="n">
        <v>142</v>
      </c>
      <c r="B153" s="56" t="s">
        <v>43</v>
      </c>
      <c r="C153" s="56" t="s">
        <v>514</v>
      </c>
      <c r="D153" s="56" t="s">
        <v>446</v>
      </c>
      <c r="E153" s="56" t="s">
        <v>315</v>
      </c>
      <c r="F153" s="57"/>
      <c r="G153" s="57" t="n">
        <v>1</v>
      </c>
      <c r="H153" s="58" t="n">
        <v>1</v>
      </c>
      <c r="I153" s="58" t="n">
        <f aca="false">SUM(F153:H153)</f>
        <v>2</v>
      </c>
      <c r="J153" s="54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91" activeCellId="1" sqref="C133:D152 D9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18"/>
    <col collapsed="false" customWidth="true" hidden="false" outlineLevel="0" max="3" min="3" style="0" width="11.83"/>
    <col collapsed="false" customWidth="true" hidden="false" outlineLevel="0" max="4" min="4" style="0" width="48.17"/>
    <col collapsed="false" customWidth="true" hidden="false" outlineLevel="0" max="5" min="5" style="0" width="12.17"/>
    <col collapsed="false" customWidth="true" hidden="false" outlineLevel="0" max="6" min="6" style="0" width="11.66"/>
  </cols>
  <sheetData>
    <row r="1" customFormat="false" ht="15" hidden="false" customHeight="false" outlineLevel="0" collapsed="false">
      <c r="A1" s="59" t="s">
        <v>515</v>
      </c>
      <c r="B1" s="60" t="s">
        <v>516</v>
      </c>
      <c r="C1" s="60" t="s">
        <v>517</v>
      </c>
      <c r="D1" s="60" t="s">
        <v>518</v>
      </c>
      <c r="E1" s="60" t="s">
        <v>519</v>
      </c>
      <c r="F1" s="60" t="s">
        <v>520</v>
      </c>
    </row>
    <row r="2" customFormat="false" ht="15" hidden="false" customHeight="false" outlineLevel="0" collapsed="false">
      <c r="A2" s="42" t="n">
        <v>1</v>
      </c>
      <c r="B2" s="42" t="s">
        <v>317</v>
      </c>
      <c r="C2" s="42" t="s">
        <v>521</v>
      </c>
      <c r="D2" s="42" t="s">
        <v>522</v>
      </c>
      <c r="E2" s="42" t="n">
        <v>4</v>
      </c>
      <c r="F2" s="42" t="s">
        <v>176</v>
      </c>
    </row>
    <row r="3" customFormat="false" ht="15" hidden="false" customHeight="false" outlineLevel="0" collapsed="false">
      <c r="A3" s="42" t="n">
        <v>2</v>
      </c>
      <c r="B3" s="42" t="s">
        <v>318</v>
      </c>
      <c r="C3" s="42" t="s">
        <v>521</v>
      </c>
      <c r="D3" s="42" t="s">
        <v>522</v>
      </c>
      <c r="E3" s="42" t="n">
        <v>4</v>
      </c>
      <c r="F3" s="42" t="s">
        <v>176</v>
      </c>
    </row>
    <row r="4" customFormat="false" ht="15" hidden="false" customHeight="false" outlineLevel="0" collapsed="false">
      <c r="A4" s="42" t="n">
        <v>3</v>
      </c>
      <c r="B4" s="42" t="s">
        <v>319</v>
      </c>
      <c r="C4" s="42" t="s">
        <v>521</v>
      </c>
      <c r="D4" s="42" t="s">
        <v>522</v>
      </c>
      <c r="E4" s="42" t="n">
        <v>1</v>
      </c>
      <c r="F4" s="42" t="s">
        <v>176</v>
      </c>
    </row>
    <row r="5" customFormat="false" ht="15" hidden="false" customHeight="false" outlineLevel="0" collapsed="false">
      <c r="A5" s="42" t="n">
        <v>4</v>
      </c>
      <c r="B5" s="42" t="s">
        <v>320</v>
      </c>
      <c r="C5" s="42" t="s">
        <v>521</v>
      </c>
      <c r="D5" s="42" t="s">
        <v>522</v>
      </c>
      <c r="E5" s="42" t="n">
        <v>1</v>
      </c>
      <c r="F5" s="42" t="s">
        <v>176</v>
      </c>
    </row>
    <row r="6" customFormat="false" ht="15" hidden="false" customHeight="false" outlineLevel="0" collapsed="false">
      <c r="A6" s="42" t="n">
        <v>5</v>
      </c>
      <c r="B6" s="42" t="s">
        <v>321</v>
      </c>
      <c r="C6" s="42" t="s">
        <v>521</v>
      </c>
      <c r="D6" s="42" t="s">
        <v>522</v>
      </c>
      <c r="E6" s="42" t="n">
        <v>1</v>
      </c>
      <c r="F6" s="42" t="s">
        <v>176</v>
      </c>
    </row>
    <row r="7" customFormat="false" ht="15" hidden="false" customHeight="false" outlineLevel="0" collapsed="false">
      <c r="A7" s="42" t="n">
        <v>6</v>
      </c>
      <c r="B7" s="42" t="s">
        <v>322</v>
      </c>
      <c r="C7" s="42" t="s">
        <v>521</v>
      </c>
      <c r="D7" s="42" t="s">
        <v>522</v>
      </c>
      <c r="E7" s="42" t="n">
        <v>1</v>
      </c>
      <c r="F7" s="42" t="s">
        <v>176</v>
      </c>
    </row>
    <row r="8" customFormat="false" ht="15" hidden="false" customHeight="false" outlineLevel="0" collapsed="false">
      <c r="A8" s="42" t="n">
        <v>7</v>
      </c>
      <c r="B8" s="42" t="s">
        <v>323</v>
      </c>
      <c r="C8" s="42" t="s">
        <v>521</v>
      </c>
      <c r="D8" s="42" t="s">
        <v>522</v>
      </c>
      <c r="E8" s="42" t="n">
        <v>1</v>
      </c>
      <c r="F8" s="42" t="s">
        <v>176</v>
      </c>
    </row>
    <row r="9" customFormat="false" ht="15" hidden="false" customHeight="false" outlineLevel="0" collapsed="false">
      <c r="A9" s="42" t="n">
        <v>8</v>
      </c>
      <c r="B9" s="42" t="s">
        <v>324</v>
      </c>
      <c r="C9" s="42" t="s">
        <v>521</v>
      </c>
      <c r="D9" s="42" t="s">
        <v>522</v>
      </c>
      <c r="E9" s="42" t="n">
        <v>3</v>
      </c>
      <c r="F9" s="42" t="s">
        <v>176</v>
      </c>
    </row>
    <row r="10" customFormat="false" ht="15" hidden="false" customHeight="false" outlineLevel="0" collapsed="false">
      <c r="A10" s="42" t="n">
        <v>9</v>
      </c>
      <c r="B10" s="42" t="s">
        <v>325</v>
      </c>
      <c r="C10" s="42" t="s">
        <v>521</v>
      </c>
      <c r="D10" s="42" t="s">
        <v>522</v>
      </c>
      <c r="E10" s="42" t="n">
        <v>1</v>
      </c>
      <c r="F10" s="42" t="s">
        <v>176</v>
      </c>
    </row>
    <row r="11" customFormat="false" ht="15" hidden="false" customHeight="false" outlineLevel="0" collapsed="false">
      <c r="A11" s="42" t="n">
        <v>10</v>
      </c>
      <c r="B11" s="42" t="s">
        <v>326</v>
      </c>
      <c r="C11" s="42" t="s">
        <v>521</v>
      </c>
      <c r="D11" s="42" t="s">
        <v>522</v>
      </c>
      <c r="E11" s="42" t="n">
        <v>1</v>
      </c>
      <c r="F11" s="42" t="s">
        <v>176</v>
      </c>
    </row>
    <row r="12" customFormat="false" ht="15" hidden="false" customHeight="false" outlineLevel="0" collapsed="false">
      <c r="A12" s="42" t="n">
        <v>11</v>
      </c>
      <c r="B12" s="42" t="s">
        <v>327</v>
      </c>
      <c r="C12" s="42" t="s">
        <v>521</v>
      </c>
      <c r="D12" s="42" t="s">
        <v>522</v>
      </c>
      <c r="E12" s="42" t="n">
        <v>1</v>
      </c>
      <c r="F12" s="42" t="s">
        <v>176</v>
      </c>
    </row>
    <row r="13" customFormat="false" ht="15" hidden="false" customHeight="false" outlineLevel="0" collapsed="false">
      <c r="A13" s="42" t="n">
        <v>12</v>
      </c>
      <c r="B13" s="42" t="s">
        <v>328</v>
      </c>
      <c r="C13" s="42" t="s">
        <v>521</v>
      </c>
      <c r="D13" s="42" t="s">
        <v>522</v>
      </c>
      <c r="E13" s="42" t="n">
        <v>3</v>
      </c>
      <c r="F13" s="42" t="s">
        <v>176</v>
      </c>
    </row>
    <row r="14" customFormat="false" ht="15" hidden="false" customHeight="false" outlineLevel="0" collapsed="false">
      <c r="A14" s="42" t="n">
        <v>13</v>
      </c>
      <c r="B14" s="42" t="s">
        <v>329</v>
      </c>
      <c r="C14" s="42" t="s">
        <v>521</v>
      </c>
      <c r="D14" s="42" t="s">
        <v>522</v>
      </c>
      <c r="E14" s="42" t="n">
        <v>1</v>
      </c>
      <c r="F14" s="42" t="s">
        <v>176</v>
      </c>
    </row>
    <row r="15" customFormat="false" ht="15" hidden="false" customHeight="false" outlineLevel="0" collapsed="false">
      <c r="A15" s="42" t="n">
        <v>14</v>
      </c>
      <c r="B15" s="42" t="s">
        <v>330</v>
      </c>
      <c r="C15" s="42" t="s">
        <v>521</v>
      </c>
      <c r="D15" s="42" t="s">
        <v>522</v>
      </c>
      <c r="E15" s="42" t="n">
        <v>1</v>
      </c>
      <c r="F15" s="42" t="s">
        <v>176</v>
      </c>
    </row>
    <row r="16" customFormat="false" ht="15" hidden="false" customHeight="false" outlineLevel="0" collapsed="false">
      <c r="A16" s="42" t="n">
        <v>15</v>
      </c>
      <c r="B16" s="42" t="s">
        <v>331</v>
      </c>
      <c r="C16" s="42" t="s">
        <v>521</v>
      </c>
      <c r="D16" s="42" t="s">
        <v>522</v>
      </c>
      <c r="E16" s="42" t="n">
        <v>1</v>
      </c>
      <c r="F16" s="42" t="s">
        <v>176</v>
      </c>
    </row>
    <row r="17" customFormat="false" ht="15" hidden="false" customHeight="false" outlineLevel="0" collapsed="false">
      <c r="A17" s="42" t="n">
        <v>16</v>
      </c>
      <c r="B17" s="42" t="s">
        <v>332</v>
      </c>
      <c r="C17" s="42" t="s">
        <v>521</v>
      </c>
      <c r="D17" s="42" t="s">
        <v>522</v>
      </c>
      <c r="E17" s="42" t="n">
        <v>1</v>
      </c>
      <c r="F17" s="42" t="s">
        <v>176</v>
      </c>
    </row>
    <row r="18" customFormat="false" ht="15" hidden="false" customHeight="false" outlineLevel="0" collapsed="false">
      <c r="A18" s="42" t="n">
        <v>17</v>
      </c>
      <c r="B18" s="42" t="s">
        <v>333</v>
      </c>
      <c r="C18" s="42" t="s">
        <v>521</v>
      </c>
      <c r="D18" s="42" t="s">
        <v>522</v>
      </c>
      <c r="E18" s="42" t="n">
        <v>1</v>
      </c>
      <c r="F18" s="42" t="s">
        <v>176</v>
      </c>
    </row>
    <row r="19" customFormat="false" ht="15" hidden="false" customHeight="false" outlineLevel="0" collapsed="false">
      <c r="A19" s="42" t="n">
        <v>18</v>
      </c>
      <c r="B19" s="42" t="s">
        <v>334</v>
      </c>
      <c r="C19" s="42" t="s">
        <v>521</v>
      </c>
      <c r="D19" s="42" t="s">
        <v>522</v>
      </c>
      <c r="E19" s="42" t="n">
        <v>1</v>
      </c>
      <c r="F19" s="42" t="s">
        <v>176</v>
      </c>
    </row>
    <row r="20" customFormat="false" ht="15" hidden="false" customHeight="false" outlineLevel="0" collapsed="false">
      <c r="A20" s="42" t="n">
        <v>19</v>
      </c>
      <c r="B20" s="42" t="s">
        <v>335</v>
      </c>
      <c r="C20" s="42" t="s">
        <v>521</v>
      </c>
      <c r="D20" s="42" t="s">
        <v>522</v>
      </c>
      <c r="E20" s="42" t="n">
        <v>1</v>
      </c>
      <c r="F20" s="42" t="s">
        <v>176</v>
      </c>
    </row>
    <row r="21" customFormat="false" ht="15" hidden="false" customHeight="false" outlineLevel="0" collapsed="false">
      <c r="A21" s="42" t="n">
        <v>20</v>
      </c>
      <c r="B21" s="42" t="s">
        <v>336</v>
      </c>
      <c r="C21" s="42" t="s">
        <v>521</v>
      </c>
      <c r="D21" s="42" t="s">
        <v>522</v>
      </c>
      <c r="E21" s="42" t="n">
        <v>1</v>
      </c>
      <c r="F21" s="42" t="s">
        <v>176</v>
      </c>
    </row>
    <row r="22" customFormat="false" ht="15" hidden="false" customHeight="false" outlineLevel="0" collapsed="false">
      <c r="A22" s="42" t="n">
        <v>21</v>
      </c>
      <c r="B22" s="42" t="s">
        <v>337</v>
      </c>
      <c r="C22" s="42" t="s">
        <v>521</v>
      </c>
      <c r="D22" s="42" t="s">
        <v>522</v>
      </c>
      <c r="E22" s="42" t="n">
        <v>1</v>
      </c>
      <c r="F22" s="42" t="s">
        <v>176</v>
      </c>
    </row>
    <row r="23" customFormat="false" ht="15" hidden="false" customHeight="false" outlineLevel="0" collapsed="false">
      <c r="A23" s="42" t="n">
        <v>22</v>
      </c>
      <c r="B23" s="42" t="s">
        <v>338</v>
      </c>
      <c r="C23" s="42" t="s">
        <v>521</v>
      </c>
      <c r="D23" s="42" t="s">
        <v>522</v>
      </c>
      <c r="E23" s="42" t="n">
        <v>1</v>
      </c>
      <c r="F23" s="42" t="s">
        <v>176</v>
      </c>
    </row>
    <row r="24" customFormat="false" ht="15" hidden="false" customHeight="false" outlineLevel="0" collapsed="false">
      <c r="A24" s="42" t="n">
        <v>23</v>
      </c>
      <c r="B24" s="42" t="s">
        <v>339</v>
      </c>
      <c r="C24" s="42" t="s">
        <v>521</v>
      </c>
      <c r="D24" s="42" t="s">
        <v>522</v>
      </c>
      <c r="E24" s="42" t="n">
        <v>1</v>
      </c>
      <c r="F24" s="42" t="s">
        <v>176</v>
      </c>
    </row>
    <row r="25" customFormat="false" ht="15" hidden="false" customHeight="false" outlineLevel="0" collapsed="false">
      <c r="A25" s="42" t="n">
        <v>24</v>
      </c>
      <c r="B25" s="42" t="s">
        <v>340</v>
      </c>
      <c r="C25" s="42" t="s">
        <v>521</v>
      </c>
      <c r="D25" s="42" t="s">
        <v>522</v>
      </c>
      <c r="E25" s="42" t="n">
        <v>1</v>
      </c>
      <c r="F25" s="42" t="s">
        <v>176</v>
      </c>
    </row>
    <row r="26" customFormat="false" ht="15" hidden="false" customHeight="false" outlineLevel="0" collapsed="false">
      <c r="A26" s="42" t="n">
        <v>25</v>
      </c>
      <c r="B26" s="42" t="s">
        <v>341</v>
      </c>
      <c r="C26" s="42" t="s">
        <v>521</v>
      </c>
      <c r="D26" s="42" t="s">
        <v>522</v>
      </c>
      <c r="E26" s="42" t="n">
        <v>1</v>
      </c>
      <c r="F26" s="42" t="s">
        <v>176</v>
      </c>
    </row>
    <row r="27" customFormat="false" ht="15" hidden="false" customHeight="false" outlineLevel="0" collapsed="false">
      <c r="A27" s="42" t="n">
        <v>26</v>
      </c>
      <c r="B27" s="42" t="s">
        <v>342</v>
      </c>
      <c r="C27" s="42" t="s">
        <v>521</v>
      </c>
      <c r="D27" s="42" t="s">
        <v>522</v>
      </c>
      <c r="E27" s="42" t="n">
        <v>1</v>
      </c>
      <c r="F27" s="42" t="s">
        <v>176</v>
      </c>
    </row>
    <row r="28" customFormat="false" ht="15" hidden="false" customHeight="false" outlineLevel="0" collapsed="false">
      <c r="A28" s="42" t="n">
        <v>27</v>
      </c>
      <c r="B28" s="42" t="s">
        <v>343</v>
      </c>
      <c r="C28" s="42" t="s">
        <v>521</v>
      </c>
      <c r="D28" s="42" t="s">
        <v>522</v>
      </c>
      <c r="E28" s="42" t="n">
        <v>1</v>
      </c>
      <c r="F28" s="42" t="s">
        <v>176</v>
      </c>
    </row>
    <row r="29" customFormat="false" ht="15" hidden="false" customHeight="false" outlineLevel="0" collapsed="false">
      <c r="A29" s="42" t="n">
        <v>28</v>
      </c>
      <c r="B29" s="42" t="s">
        <v>344</v>
      </c>
      <c r="C29" s="42" t="s">
        <v>521</v>
      </c>
      <c r="D29" s="42" t="s">
        <v>522</v>
      </c>
      <c r="E29" s="42" t="n">
        <v>1</v>
      </c>
      <c r="F29" s="42" t="s">
        <v>176</v>
      </c>
    </row>
    <row r="30" customFormat="false" ht="15" hidden="false" customHeight="false" outlineLevel="0" collapsed="false">
      <c r="A30" s="42" t="n">
        <v>29</v>
      </c>
      <c r="B30" s="42" t="s">
        <v>345</v>
      </c>
      <c r="C30" s="42" t="s">
        <v>521</v>
      </c>
      <c r="D30" s="42" t="s">
        <v>522</v>
      </c>
      <c r="E30" s="42" t="n">
        <v>1</v>
      </c>
      <c r="F30" s="42" t="s">
        <v>176</v>
      </c>
    </row>
    <row r="31" customFormat="false" ht="15" hidden="false" customHeight="false" outlineLevel="0" collapsed="false">
      <c r="A31" s="42" t="n">
        <v>30</v>
      </c>
      <c r="B31" s="42" t="s">
        <v>346</v>
      </c>
      <c r="C31" s="42" t="s">
        <v>521</v>
      </c>
      <c r="D31" s="42" t="s">
        <v>522</v>
      </c>
      <c r="E31" s="42" t="n">
        <v>1</v>
      </c>
      <c r="F31" s="42" t="s">
        <v>176</v>
      </c>
    </row>
    <row r="32" customFormat="false" ht="15" hidden="false" customHeight="false" outlineLevel="0" collapsed="false">
      <c r="A32" s="42" t="n">
        <v>31</v>
      </c>
      <c r="B32" s="42" t="s">
        <v>347</v>
      </c>
      <c r="C32" s="42" t="s">
        <v>521</v>
      </c>
      <c r="D32" s="42" t="s">
        <v>522</v>
      </c>
      <c r="E32" s="42" t="n">
        <v>1</v>
      </c>
      <c r="F32" s="42" t="s">
        <v>176</v>
      </c>
    </row>
    <row r="33" customFormat="false" ht="15" hidden="false" customHeight="false" outlineLevel="0" collapsed="false">
      <c r="A33" s="42" t="n">
        <v>32</v>
      </c>
      <c r="B33" s="42" t="s">
        <v>348</v>
      </c>
      <c r="C33" s="42" t="s">
        <v>521</v>
      </c>
      <c r="D33" s="42" t="s">
        <v>522</v>
      </c>
      <c r="E33" s="42" t="n">
        <v>1</v>
      </c>
      <c r="F33" s="42" t="s">
        <v>176</v>
      </c>
    </row>
    <row r="34" customFormat="false" ht="15" hidden="false" customHeight="false" outlineLevel="0" collapsed="false">
      <c r="A34" s="42" t="n">
        <v>33</v>
      </c>
      <c r="B34" s="42" t="s">
        <v>349</v>
      </c>
      <c r="C34" s="42" t="s">
        <v>521</v>
      </c>
      <c r="D34" s="42" t="s">
        <v>522</v>
      </c>
      <c r="E34" s="42" t="n">
        <v>1</v>
      </c>
      <c r="F34" s="42" t="s">
        <v>176</v>
      </c>
    </row>
    <row r="35" customFormat="false" ht="15" hidden="false" customHeight="false" outlineLevel="0" collapsed="false">
      <c r="A35" s="42" t="n">
        <v>34</v>
      </c>
      <c r="B35" s="42" t="s">
        <v>350</v>
      </c>
      <c r="C35" s="42" t="s">
        <v>521</v>
      </c>
      <c r="D35" s="42" t="s">
        <v>522</v>
      </c>
      <c r="E35" s="42" t="n">
        <v>1</v>
      </c>
      <c r="F35" s="42" t="s">
        <v>176</v>
      </c>
    </row>
    <row r="36" customFormat="false" ht="15" hidden="false" customHeight="false" outlineLevel="0" collapsed="false">
      <c r="A36" s="42" t="n">
        <v>35</v>
      </c>
      <c r="B36" s="42" t="s">
        <v>351</v>
      </c>
      <c r="C36" s="42" t="s">
        <v>521</v>
      </c>
      <c r="D36" s="42" t="s">
        <v>522</v>
      </c>
      <c r="E36" s="42" t="n">
        <v>2</v>
      </c>
      <c r="F36" s="42" t="s">
        <v>176</v>
      </c>
    </row>
    <row r="37" customFormat="false" ht="15" hidden="false" customHeight="false" outlineLevel="0" collapsed="false">
      <c r="A37" s="42" t="n">
        <v>36</v>
      </c>
      <c r="B37" s="42" t="s">
        <v>352</v>
      </c>
      <c r="C37" s="42" t="s">
        <v>521</v>
      </c>
      <c r="D37" s="42" t="s">
        <v>522</v>
      </c>
      <c r="E37" s="42" t="n">
        <v>1</v>
      </c>
      <c r="F37" s="42" t="s">
        <v>176</v>
      </c>
    </row>
    <row r="38" customFormat="false" ht="15" hidden="false" customHeight="false" outlineLevel="0" collapsed="false">
      <c r="A38" s="42" t="n">
        <v>37</v>
      </c>
      <c r="B38" s="42" t="s">
        <v>353</v>
      </c>
      <c r="C38" s="42" t="s">
        <v>521</v>
      </c>
      <c r="D38" s="42" t="s">
        <v>522</v>
      </c>
      <c r="E38" s="42" t="n">
        <v>1</v>
      </c>
      <c r="F38" s="42" t="s">
        <v>176</v>
      </c>
    </row>
    <row r="39" customFormat="false" ht="15" hidden="false" customHeight="false" outlineLevel="0" collapsed="false">
      <c r="A39" s="42" t="n">
        <v>38</v>
      </c>
      <c r="B39" s="42" t="s">
        <v>354</v>
      </c>
      <c r="C39" s="42" t="s">
        <v>521</v>
      </c>
      <c r="D39" s="42" t="s">
        <v>522</v>
      </c>
      <c r="E39" s="42" t="n">
        <v>5</v>
      </c>
      <c r="F39" s="42" t="s">
        <v>176</v>
      </c>
    </row>
    <row r="40" customFormat="false" ht="15" hidden="false" customHeight="false" outlineLevel="0" collapsed="false">
      <c r="A40" s="42" t="n">
        <v>39</v>
      </c>
      <c r="B40" s="42" t="s">
        <v>355</v>
      </c>
      <c r="C40" s="42" t="s">
        <v>521</v>
      </c>
      <c r="D40" s="42" t="s">
        <v>522</v>
      </c>
      <c r="E40" s="42" t="n">
        <v>1</v>
      </c>
      <c r="F40" s="42" t="s">
        <v>176</v>
      </c>
    </row>
    <row r="41" customFormat="false" ht="15" hidden="false" customHeight="false" outlineLevel="0" collapsed="false">
      <c r="A41" s="42" t="n">
        <v>40</v>
      </c>
      <c r="B41" s="42" t="s">
        <v>356</v>
      </c>
      <c r="C41" s="42" t="s">
        <v>521</v>
      </c>
      <c r="D41" s="42" t="s">
        <v>522</v>
      </c>
      <c r="E41" s="42" t="n">
        <v>2</v>
      </c>
      <c r="F41" s="42" t="s">
        <v>176</v>
      </c>
    </row>
    <row r="42" customFormat="false" ht="15" hidden="false" customHeight="false" outlineLevel="0" collapsed="false">
      <c r="A42" s="42" t="n">
        <v>41</v>
      </c>
      <c r="B42" s="42" t="s">
        <v>357</v>
      </c>
      <c r="C42" s="42" t="s">
        <v>521</v>
      </c>
      <c r="D42" s="42" t="s">
        <v>522</v>
      </c>
      <c r="E42" s="42" t="n">
        <v>1</v>
      </c>
      <c r="F42" s="42" t="s">
        <v>176</v>
      </c>
    </row>
    <row r="43" customFormat="false" ht="15" hidden="false" customHeight="false" outlineLevel="0" collapsed="false">
      <c r="A43" s="42" t="n">
        <v>42</v>
      </c>
      <c r="B43" s="42" t="s">
        <v>358</v>
      </c>
      <c r="C43" s="42" t="s">
        <v>521</v>
      </c>
      <c r="D43" s="42" t="s">
        <v>522</v>
      </c>
      <c r="E43" s="42" t="n">
        <v>1</v>
      </c>
      <c r="F43" s="42" t="s">
        <v>176</v>
      </c>
    </row>
    <row r="44" customFormat="false" ht="15" hidden="false" customHeight="false" outlineLevel="0" collapsed="false">
      <c r="A44" s="42" t="n">
        <v>43</v>
      </c>
      <c r="B44" s="42" t="s">
        <v>359</v>
      </c>
      <c r="C44" s="42" t="s">
        <v>521</v>
      </c>
      <c r="D44" s="42" t="s">
        <v>522</v>
      </c>
      <c r="E44" s="42" t="n">
        <v>1</v>
      </c>
      <c r="F44" s="42" t="s">
        <v>176</v>
      </c>
    </row>
    <row r="45" customFormat="false" ht="15" hidden="false" customHeight="false" outlineLevel="0" collapsed="false">
      <c r="A45" s="42" t="n">
        <v>44</v>
      </c>
      <c r="B45" s="42" t="s">
        <v>360</v>
      </c>
      <c r="C45" s="42" t="s">
        <v>521</v>
      </c>
      <c r="D45" s="42" t="s">
        <v>522</v>
      </c>
      <c r="E45" s="42" t="n">
        <v>2</v>
      </c>
      <c r="F45" s="42" t="s">
        <v>176</v>
      </c>
    </row>
    <row r="46" customFormat="false" ht="15" hidden="false" customHeight="false" outlineLevel="0" collapsed="false">
      <c r="A46" s="42" t="n">
        <v>45</v>
      </c>
      <c r="B46" s="42" t="s">
        <v>361</v>
      </c>
      <c r="C46" s="42" t="s">
        <v>521</v>
      </c>
      <c r="D46" s="42" t="s">
        <v>522</v>
      </c>
      <c r="E46" s="42" t="n">
        <v>1</v>
      </c>
      <c r="F46" s="42" t="s">
        <v>176</v>
      </c>
    </row>
    <row r="47" customFormat="false" ht="15" hidden="false" customHeight="false" outlineLevel="0" collapsed="false">
      <c r="A47" s="42" t="n">
        <v>46</v>
      </c>
      <c r="B47" s="42" t="s">
        <v>362</v>
      </c>
      <c r="C47" s="42" t="s">
        <v>521</v>
      </c>
      <c r="D47" s="42" t="s">
        <v>522</v>
      </c>
      <c r="E47" s="42" t="n">
        <v>1</v>
      </c>
      <c r="F47" s="42" t="s">
        <v>176</v>
      </c>
    </row>
    <row r="48" customFormat="false" ht="15" hidden="false" customHeight="false" outlineLevel="0" collapsed="false">
      <c r="A48" s="42" t="n">
        <v>47</v>
      </c>
      <c r="B48" s="42" t="s">
        <v>363</v>
      </c>
      <c r="C48" s="42" t="s">
        <v>521</v>
      </c>
      <c r="D48" s="42" t="s">
        <v>522</v>
      </c>
      <c r="E48" s="42" t="n">
        <v>1</v>
      </c>
      <c r="F48" s="42" t="s">
        <v>176</v>
      </c>
    </row>
    <row r="49" customFormat="false" ht="15" hidden="false" customHeight="false" outlineLevel="0" collapsed="false">
      <c r="A49" s="42" t="n">
        <v>48</v>
      </c>
      <c r="B49" s="42" t="s">
        <v>364</v>
      </c>
      <c r="C49" s="42" t="s">
        <v>521</v>
      </c>
      <c r="D49" s="42" t="s">
        <v>522</v>
      </c>
      <c r="E49" s="42" t="n">
        <v>1</v>
      </c>
      <c r="F49" s="42" t="s">
        <v>176</v>
      </c>
    </row>
    <row r="50" customFormat="false" ht="15" hidden="false" customHeight="false" outlineLevel="0" collapsed="false">
      <c r="A50" s="42" t="n">
        <v>49</v>
      </c>
      <c r="B50" s="42" t="s">
        <v>365</v>
      </c>
      <c r="C50" s="42" t="s">
        <v>521</v>
      </c>
      <c r="D50" s="42" t="s">
        <v>522</v>
      </c>
      <c r="E50" s="42" t="n">
        <v>1</v>
      </c>
      <c r="F50" s="42" t="s">
        <v>176</v>
      </c>
    </row>
    <row r="51" customFormat="false" ht="15" hidden="false" customHeight="false" outlineLevel="0" collapsed="false">
      <c r="A51" s="42" t="n">
        <v>50</v>
      </c>
      <c r="B51" s="42" t="s">
        <v>366</v>
      </c>
      <c r="C51" s="42" t="s">
        <v>521</v>
      </c>
      <c r="D51" s="42" t="s">
        <v>522</v>
      </c>
      <c r="E51" s="42" t="n">
        <v>1</v>
      </c>
      <c r="F51" s="42" t="s">
        <v>176</v>
      </c>
    </row>
    <row r="52" customFormat="false" ht="15" hidden="false" customHeight="false" outlineLevel="0" collapsed="false">
      <c r="A52" s="42" t="n">
        <v>51</v>
      </c>
      <c r="B52" s="42" t="s">
        <v>367</v>
      </c>
      <c r="C52" s="42" t="s">
        <v>521</v>
      </c>
      <c r="D52" s="42" t="s">
        <v>522</v>
      </c>
      <c r="E52" s="42" t="n">
        <v>1</v>
      </c>
      <c r="F52" s="42" t="s">
        <v>176</v>
      </c>
    </row>
    <row r="53" customFormat="false" ht="15" hidden="false" customHeight="false" outlineLevel="0" collapsed="false">
      <c r="A53" s="42" t="n">
        <v>52</v>
      </c>
      <c r="B53" s="42" t="s">
        <v>368</v>
      </c>
      <c r="C53" s="42" t="s">
        <v>521</v>
      </c>
      <c r="D53" s="42" t="s">
        <v>522</v>
      </c>
      <c r="E53" s="42" t="n">
        <v>1</v>
      </c>
      <c r="F53" s="42" t="s">
        <v>176</v>
      </c>
    </row>
    <row r="54" customFormat="false" ht="15" hidden="false" customHeight="false" outlineLevel="0" collapsed="false">
      <c r="A54" s="42" t="n">
        <v>53</v>
      </c>
      <c r="B54" s="42" t="s">
        <v>369</v>
      </c>
      <c r="C54" s="42" t="s">
        <v>521</v>
      </c>
      <c r="D54" s="42" t="s">
        <v>522</v>
      </c>
      <c r="E54" s="42" t="n">
        <v>3</v>
      </c>
      <c r="F54" s="42" t="s">
        <v>176</v>
      </c>
    </row>
    <row r="55" customFormat="false" ht="15" hidden="false" customHeight="false" outlineLevel="0" collapsed="false">
      <c r="A55" s="42" t="n">
        <v>54</v>
      </c>
      <c r="B55" s="42" t="s">
        <v>370</v>
      </c>
      <c r="C55" s="42" t="s">
        <v>521</v>
      </c>
      <c r="D55" s="42" t="s">
        <v>522</v>
      </c>
      <c r="E55" s="42" t="n">
        <v>1</v>
      </c>
      <c r="F55" s="42" t="s">
        <v>176</v>
      </c>
    </row>
    <row r="56" customFormat="false" ht="15" hidden="false" customHeight="false" outlineLevel="0" collapsed="false">
      <c r="A56" s="42" t="n">
        <v>55</v>
      </c>
      <c r="B56" s="42" t="s">
        <v>371</v>
      </c>
      <c r="C56" s="42" t="s">
        <v>521</v>
      </c>
      <c r="D56" s="42" t="s">
        <v>522</v>
      </c>
      <c r="E56" s="42" t="n">
        <v>1</v>
      </c>
      <c r="F56" s="42" t="s">
        <v>176</v>
      </c>
    </row>
    <row r="57" customFormat="false" ht="15" hidden="false" customHeight="false" outlineLevel="0" collapsed="false">
      <c r="A57" s="42" t="n">
        <v>56</v>
      </c>
      <c r="B57" s="42" t="s">
        <v>372</v>
      </c>
      <c r="C57" s="42" t="s">
        <v>521</v>
      </c>
      <c r="D57" s="42" t="s">
        <v>522</v>
      </c>
      <c r="E57" s="42" t="n">
        <v>1</v>
      </c>
      <c r="F57" s="42" t="s">
        <v>176</v>
      </c>
    </row>
    <row r="58" customFormat="false" ht="15" hidden="false" customHeight="false" outlineLevel="0" collapsed="false">
      <c r="A58" s="42" t="n">
        <v>57</v>
      </c>
      <c r="B58" s="42" t="s">
        <v>373</v>
      </c>
      <c r="C58" s="42" t="s">
        <v>521</v>
      </c>
      <c r="D58" s="42" t="s">
        <v>522</v>
      </c>
      <c r="E58" s="42" t="n">
        <v>2</v>
      </c>
      <c r="F58" s="42" t="s">
        <v>176</v>
      </c>
    </row>
    <row r="59" customFormat="false" ht="15" hidden="false" customHeight="false" outlineLevel="0" collapsed="false">
      <c r="A59" s="42" t="n">
        <v>58</v>
      </c>
      <c r="B59" s="42" t="s">
        <v>374</v>
      </c>
      <c r="C59" s="42" t="s">
        <v>521</v>
      </c>
      <c r="D59" s="42" t="s">
        <v>522</v>
      </c>
      <c r="E59" s="42" t="n">
        <v>2</v>
      </c>
      <c r="F59" s="42" t="s">
        <v>176</v>
      </c>
    </row>
    <row r="60" customFormat="false" ht="15" hidden="false" customHeight="false" outlineLevel="0" collapsed="false">
      <c r="A60" s="42" t="n">
        <v>59</v>
      </c>
      <c r="B60" s="42" t="s">
        <v>375</v>
      </c>
      <c r="C60" s="42" t="s">
        <v>521</v>
      </c>
      <c r="D60" s="42" t="s">
        <v>522</v>
      </c>
      <c r="E60" s="42" t="n">
        <v>1</v>
      </c>
      <c r="F60" s="42" t="s">
        <v>176</v>
      </c>
    </row>
    <row r="61" customFormat="false" ht="15" hidden="false" customHeight="false" outlineLevel="0" collapsed="false">
      <c r="A61" s="42" t="n">
        <v>60</v>
      </c>
      <c r="B61" s="42" t="s">
        <v>376</v>
      </c>
      <c r="C61" s="42" t="s">
        <v>521</v>
      </c>
      <c r="D61" s="42" t="s">
        <v>522</v>
      </c>
      <c r="E61" s="42" t="n">
        <v>2</v>
      </c>
      <c r="F61" s="42" t="s">
        <v>176</v>
      </c>
    </row>
    <row r="62" customFormat="false" ht="15" hidden="false" customHeight="false" outlineLevel="0" collapsed="false">
      <c r="A62" s="42" t="n">
        <v>61</v>
      </c>
      <c r="B62" s="42" t="s">
        <v>377</v>
      </c>
      <c r="C62" s="42" t="s">
        <v>521</v>
      </c>
      <c r="D62" s="42" t="s">
        <v>522</v>
      </c>
      <c r="E62" s="42" t="n">
        <v>1</v>
      </c>
      <c r="F62" s="42" t="s">
        <v>176</v>
      </c>
    </row>
    <row r="63" customFormat="false" ht="15" hidden="false" customHeight="false" outlineLevel="0" collapsed="false">
      <c r="A63" s="42" t="n">
        <v>62</v>
      </c>
      <c r="B63" s="42" t="s">
        <v>378</v>
      </c>
      <c r="C63" s="42" t="s">
        <v>521</v>
      </c>
      <c r="D63" s="42" t="s">
        <v>522</v>
      </c>
      <c r="E63" s="42" t="n">
        <v>2</v>
      </c>
      <c r="F63" s="42" t="s">
        <v>176</v>
      </c>
    </row>
    <row r="64" customFormat="false" ht="15" hidden="false" customHeight="false" outlineLevel="0" collapsed="false">
      <c r="A64" s="42" t="n">
        <v>63</v>
      </c>
      <c r="B64" s="42" t="s">
        <v>379</v>
      </c>
      <c r="C64" s="42" t="s">
        <v>521</v>
      </c>
      <c r="D64" s="42" t="s">
        <v>522</v>
      </c>
      <c r="E64" s="42" t="n">
        <v>2</v>
      </c>
      <c r="F64" s="42" t="s">
        <v>176</v>
      </c>
    </row>
    <row r="65" customFormat="false" ht="15" hidden="false" customHeight="false" outlineLevel="0" collapsed="false">
      <c r="A65" s="42" t="n">
        <v>64</v>
      </c>
      <c r="B65" s="42" t="s">
        <v>380</v>
      </c>
      <c r="C65" s="42" t="s">
        <v>521</v>
      </c>
      <c r="D65" s="42" t="s">
        <v>522</v>
      </c>
      <c r="E65" s="42" t="n">
        <v>2</v>
      </c>
      <c r="F65" s="42" t="s">
        <v>176</v>
      </c>
    </row>
    <row r="66" customFormat="false" ht="15" hidden="false" customHeight="false" outlineLevel="0" collapsed="false">
      <c r="A66" s="42" t="n">
        <v>65</v>
      </c>
      <c r="B66" s="42" t="s">
        <v>381</v>
      </c>
      <c r="C66" s="42" t="s">
        <v>521</v>
      </c>
      <c r="D66" s="42" t="s">
        <v>522</v>
      </c>
      <c r="E66" s="42" t="n">
        <v>1</v>
      </c>
      <c r="F66" s="42" t="s">
        <v>176</v>
      </c>
    </row>
    <row r="67" customFormat="false" ht="15" hidden="false" customHeight="false" outlineLevel="0" collapsed="false">
      <c r="A67" s="42" t="n">
        <v>66</v>
      </c>
      <c r="B67" s="42" t="s">
        <v>382</v>
      </c>
      <c r="C67" s="42" t="s">
        <v>521</v>
      </c>
      <c r="D67" s="42" t="s">
        <v>522</v>
      </c>
      <c r="E67" s="42" t="n">
        <v>1</v>
      </c>
      <c r="F67" s="42" t="s">
        <v>176</v>
      </c>
    </row>
    <row r="68" customFormat="false" ht="15" hidden="false" customHeight="false" outlineLevel="0" collapsed="false">
      <c r="A68" s="42" t="n">
        <v>67</v>
      </c>
      <c r="B68" s="42" t="s">
        <v>383</v>
      </c>
      <c r="C68" s="42" t="s">
        <v>521</v>
      </c>
      <c r="D68" s="42" t="s">
        <v>522</v>
      </c>
      <c r="E68" s="42" t="n">
        <v>2</v>
      </c>
      <c r="F68" s="42" t="s">
        <v>176</v>
      </c>
    </row>
    <row r="69" customFormat="false" ht="15" hidden="false" customHeight="false" outlineLevel="0" collapsed="false">
      <c r="A69" s="42" t="n">
        <v>68</v>
      </c>
      <c r="B69" s="42" t="s">
        <v>384</v>
      </c>
      <c r="C69" s="42" t="s">
        <v>521</v>
      </c>
      <c r="D69" s="42" t="s">
        <v>522</v>
      </c>
      <c r="E69" s="42" t="n">
        <v>2</v>
      </c>
      <c r="F69" s="42" t="s">
        <v>176</v>
      </c>
    </row>
    <row r="70" customFormat="false" ht="15" hidden="false" customHeight="false" outlineLevel="0" collapsed="false">
      <c r="A70" s="42" t="n">
        <v>69</v>
      </c>
      <c r="B70" s="42" t="s">
        <v>385</v>
      </c>
      <c r="C70" s="42" t="s">
        <v>521</v>
      </c>
      <c r="D70" s="42" t="s">
        <v>522</v>
      </c>
      <c r="E70" s="42" t="n">
        <v>2</v>
      </c>
      <c r="F70" s="42" t="s">
        <v>176</v>
      </c>
    </row>
    <row r="71" customFormat="false" ht="15" hidden="false" customHeight="false" outlineLevel="0" collapsed="false">
      <c r="A71" s="42" t="n">
        <v>70</v>
      </c>
      <c r="B71" s="42" t="s">
        <v>386</v>
      </c>
      <c r="C71" s="42" t="s">
        <v>521</v>
      </c>
      <c r="D71" s="42" t="s">
        <v>522</v>
      </c>
      <c r="E71" s="42" t="n">
        <v>1</v>
      </c>
      <c r="F71" s="42" t="s">
        <v>176</v>
      </c>
    </row>
    <row r="72" customFormat="false" ht="15" hidden="false" customHeight="false" outlineLevel="0" collapsed="false">
      <c r="A72" s="42" t="n">
        <v>71</v>
      </c>
      <c r="B72" s="42" t="s">
        <v>387</v>
      </c>
      <c r="C72" s="42" t="s">
        <v>521</v>
      </c>
      <c r="D72" s="42" t="s">
        <v>522</v>
      </c>
      <c r="E72" s="42" t="n">
        <v>1</v>
      </c>
      <c r="F72" s="42" t="s">
        <v>176</v>
      </c>
    </row>
    <row r="73" customFormat="false" ht="15" hidden="false" customHeight="false" outlineLevel="0" collapsed="false">
      <c r="A73" s="42" t="n">
        <v>72</v>
      </c>
      <c r="B73" s="42" t="s">
        <v>388</v>
      </c>
      <c r="C73" s="42" t="s">
        <v>521</v>
      </c>
      <c r="D73" s="42" t="s">
        <v>522</v>
      </c>
      <c r="E73" s="42" t="n">
        <v>1</v>
      </c>
      <c r="F73" s="42" t="s">
        <v>176</v>
      </c>
    </row>
    <row r="74" customFormat="false" ht="15" hidden="false" customHeight="false" outlineLevel="0" collapsed="false">
      <c r="A74" s="42" t="n">
        <v>73</v>
      </c>
      <c r="B74" s="42" t="s">
        <v>389</v>
      </c>
      <c r="C74" s="42" t="s">
        <v>521</v>
      </c>
      <c r="D74" s="42" t="s">
        <v>522</v>
      </c>
      <c r="E74" s="42" t="n">
        <v>1</v>
      </c>
      <c r="F74" s="42" t="s">
        <v>176</v>
      </c>
    </row>
    <row r="75" customFormat="false" ht="15" hidden="false" customHeight="false" outlineLevel="0" collapsed="false">
      <c r="A75" s="42" t="n">
        <v>74</v>
      </c>
      <c r="B75" s="42" t="s">
        <v>390</v>
      </c>
      <c r="C75" s="42" t="s">
        <v>521</v>
      </c>
      <c r="D75" s="42" t="s">
        <v>522</v>
      </c>
      <c r="E75" s="42" t="n">
        <v>3</v>
      </c>
      <c r="F75" s="42" t="s">
        <v>176</v>
      </c>
    </row>
    <row r="76" customFormat="false" ht="15" hidden="false" customHeight="false" outlineLevel="0" collapsed="false">
      <c r="A76" s="42" t="n">
        <v>75</v>
      </c>
      <c r="B76" s="42" t="s">
        <v>391</v>
      </c>
      <c r="C76" s="42" t="s">
        <v>521</v>
      </c>
      <c r="D76" s="42" t="s">
        <v>522</v>
      </c>
      <c r="E76" s="42" t="n">
        <v>7</v>
      </c>
      <c r="F76" s="42" t="s">
        <v>523</v>
      </c>
    </row>
    <row r="77" customFormat="false" ht="15" hidden="false" customHeight="false" outlineLevel="0" collapsed="false">
      <c r="A77" s="42" t="n">
        <v>76</v>
      </c>
      <c r="B77" s="42" t="s">
        <v>392</v>
      </c>
      <c r="C77" s="42" t="s">
        <v>521</v>
      </c>
      <c r="D77" s="42" t="s">
        <v>522</v>
      </c>
      <c r="E77" s="42" t="n">
        <v>11.2</v>
      </c>
      <c r="F77" s="42" t="s">
        <v>523</v>
      </c>
    </row>
    <row r="78" customFormat="false" ht="15" hidden="false" customHeight="false" outlineLevel="0" collapsed="false">
      <c r="A78" s="42" t="n">
        <v>77</v>
      </c>
      <c r="B78" s="42" t="s">
        <v>393</v>
      </c>
      <c r="C78" s="42" t="s">
        <v>521</v>
      </c>
      <c r="D78" s="42" t="s">
        <v>522</v>
      </c>
      <c r="E78" s="42" t="n">
        <v>10.21</v>
      </c>
      <c r="F78" s="42" t="s">
        <v>523</v>
      </c>
    </row>
    <row r="79" customFormat="false" ht="15" hidden="false" customHeight="false" outlineLevel="0" collapsed="false">
      <c r="A79" s="42" t="n">
        <v>78</v>
      </c>
      <c r="B79" s="42" t="s">
        <v>394</v>
      </c>
      <c r="C79" s="42" t="s">
        <v>521</v>
      </c>
      <c r="D79" s="42" t="s">
        <v>522</v>
      </c>
      <c r="E79" s="42" t="n">
        <v>7.2</v>
      </c>
      <c r="F79" s="42" t="s">
        <v>523</v>
      </c>
    </row>
    <row r="80" customFormat="false" ht="15" hidden="false" customHeight="false" outlineLevel="0" collapsed="false">
      <c r="A80" s="42" t="n">
        <v>79</v>
      </c>
      <c r="B80" s="42" t="s">
        <v>395</v>
      </c>
      <c r="C80" s="42" t="s">
        <v>521</v>
      </c>
      <c r="D80" s="42" t="s">
        <v>522</v>
      </c>
      <c r="E80" s="42" t="n">
        <v>15.23</v>
      </c>
      <c r="F80" s="42" t="s">
        <v>523</v>
      </c>
    </row>
    <row r="81" customFormat="false" ht="15" hidden="false" customHeight="false" outlineLevel="0" collapsed="false">
      <c r="A81" s="42" t="n">
        <v>80</v>
      </c>
      <c r="B81" s="42" t="s">
        <v>396</v>
      </c>
      <c r="C81" s="42" t="s">
        <v>521</v>
      </c>
      <c r="D81" s="42" t="s">
        <v>522</v>
      </c>
      <c r="E81" s="42" t="n">
        <v>10</v>
      </c>
      <c r="F81" s="42" t="s">
        <v>523</v>
      </c>
    </row>
    <row r="82" customFormat="false" ht="15" hidden="false" customHeight="false" outlineLevel="0" collapsed="false">
      <c r="A82" s="42" t="n">
        <v>81</v>
      </c>
      <c r="B82" s="42" t="s">
        <v>397</v>
      </c>
      <c r="C82" s="42" t="s">
        <v>521</v>
      </c>
      <c r="D82" s="42" t="s">
        <v>522</v>
      </c>
      <c r="E82" s="42" t="n">
        <v>10</v>
      </c>
      <c r="F82" s="42" t="s">
        <v>523</v>
      </c>
    </row>
    <row r="83" customFormat="false" ht="15" hidden="false" customHeight="false" outlineLevel="0" collapsed="false">
      <c r="A83" s="42" t="n">
        <v>82</v>
      </c>
      <c r="B83" s="42" t="s">
        <v>398</v>
      </c>
      <c r="C83" s="42" t="s">
        <v>521</v>
      </c>
      <c r="D83" s="42" t="s">
        <v>522</v>
      </c>
      <c r="E83" s="42" t="n">
        <v>18</v>
      </c>
      <c r="F83" s="42" t="s">
        <v>523</v>
      </c>
    </row>
    <row r="84" customFormat="false" ht="15" hidden="false" customHeight="false" outlineLevel="0" collapsed="false">
      <c r="A84" s="42" t="n">
        <v>83</v>
      </c>
      <c r="B84" s="42" t="s">
        <v>399</v>
      </c>
      <c r="C84" s="42" t="s">
        <v>521</v>
      </c>
      <c r="D84" s="42" t="s">
        <v>522</v>
      </c>
      <c r="E84" s="42" t="n">
        <v>16</v>
      </c>
      <c r="F84" s="42" t="s">
        <v>523</v>
      </c>
    </row>
    <row r="85" customFormat="false" ht="15" hidden="false" customHeight="false" outlineLevel="0" collapsed="false">
      <c r="A85" s="42" t="n">
        <v>84</v>
      </c>
      <c r="B85" s="42" t="s">
        <v>400</v>
      </c>
      <c r="C85" s="42" t="s">
        <v>521</v>
      </c>
      <c r="D85" s="42" t="s">
        <v>522</v>
      </c>
      <c r="E85" s="42" t="n">
        <v>11.28</v>
      </c>
      <c r="F85" s="42" t="s">
        <v>523</v>
      </c>
    </row>
    <row r="86" customFormat="false" ht="15" hidden="false" customHeight="false" outlineLevel="0" collapsed="false">
      <c r="A86" s="42" t="n">
        <v>85</v>
      </c>
      <c r="B86" s="42" t="s">
        <v>401</v>
      </c>
      <c r="C86" s="42" t="s">
        <v>521</v>
      </c>
      <c r="D86" s="42" t="s">
        <v>522</v>
      </c>
      <c r="E86" s="42" t="n">
        <v>16.15</v>
      </c>
      <c r="F86" s="42" t="s">
        <v>523</v>
      </c>
    </row>
    <row r="87" customFormat="false" ht="15" hidden="false" customHeight="false" outlineLevel="0" collapsed="false">
      <c r="A87" s="42" t="n">
        <v>86</v>
      </c>
      <c r="B87" s="42" t="s">
        <v>402</v>
      </c>
      <c r="C87" s="42" t="s">
        <v>521</v>
      </c>
      <c r="D87" s="42" t="s">
        <v>522</v>
      </c>
      <c r="E87" s="42" t="n">
        <v>17</v>
      </c>
      <c r="F87" s="42" t="s">
        <v>523</v>
      </c>
    </row>
    <row r="88" customFormat="false" ht="15" hidden="false" customHeight="false" outlineLevel="0" collapsed="false">
      <c r="A88" s="42" t="n">
        <v>87</v>
      </c>
      <c r="B88" s="42" t="s">
        <v>403</v>
      </c>
      <c r="C88" s="42" t="s">
        <v>521</v>
      </c>
      <c r="D88" s="42" t="s">
        <v>522</v>
      </c>
      <c r="E88" s="42" t="n">
        <v>15.23</v>
      </c>
      <c r="F88" s="42" t="s">
        <v>523</v>
      </c>
    </row>
    <row r="89" customFormat="false" ht="15" hidden="false" customHeight="false" outlineLevel="0" collapsed="false">
      <c r="A89" s="42" t="n">
        <v>88</v>
      </c>
      <c r="B89" s="42" t="s">
        <v>404</v>
      </c>
      <c r="C89" s="42" t="s">
        <v>521</v>
      </c>
      <c r="D89" s="42" t="s">
        <v>522</v>
      </c>
      <c r="E89" s="42" t="n">
        <v>9</v>
      </c>
      <c r="F89" s="42" t="s">
        <v>523</v>
      </c>
    </row>
    <row r="90" customFormat="false" ht="15" hidden="false" customHeight="false" outlineLevel="0" collapsed="false">
      <c r="A90" s="42" t="n">
        <v>89</v>
      </c>
      <c r="B90" s="42" t="s">
        <v>405</v>
      </c>
      <c r="C90" s="42" t="s">
        <v>521</v>
      </c>
      <c r="D90" s="42" t="s">
        <v>522</v>
      </c>
      <c r="E90" s="42" t="n">
        <v>16.14</v>
      </c>
      <c r="F90" s="42" t="s">
        <v>523</v>
      </c>
    </row>
    <row r="91" customFormat="false" ht="15" hidden="false" customHeight="false" outlineLevel="0" collapsed="false">
      <c r="A91" s="42" t="n">
        <v>90</v>
      </c>
      <c r="B91" s="42" t="s">
        <v>406</v>
      </c>
      <c r="C91" s="42" t="s">
        <v>521</v>
      </c>
      <c r="D91" s="42" t="s">
        <v>522</v>
      </c>
      <c r="E91" s="42" t="n">
        <v>16</v>
      </c>
      <c r="F91" s="42" t="s">
        <v>523</v>
      </c>
    </row>
    <row r="92" customFormat="false" ht="15" hidden="false" customHeight="false" outlineLevel="0" collapsed="false">
      <c r="A92" s="42" t="n">
        <v>91</v>
      </c>
      <c r="B92" s="42" t="s">
        <v>407</v>
      </c>
      <c r="C92" s="42" t="s">
        <v>521</v>
      </c>
      <c r="D92" s="42" t="s">
        <v>522</v>
      </c>
      <c r="E92" s="42" t="n">
        <v>11.35</v>
      </c>
      <c r="F92" s="42" t="s">
        <v>523</v>
      </c>
    </row>
    <row r="93" customFormat="false" ht="15" hidden="false" customHeight="false" outlineLevel="0" collapsed="false">
      <c r="A93" s="42" t="n">
        <v>92</v>
      </c>
      <c r="B93" s="42" t="s">
        <v>408</v>
      </c>
      <c r="C93" s="42" t="s">
        <v>521</v>
      </c>
      <c r="D93" s="42" t="s">
        <v>522</v>
      </c>
      <c r="E93" s="42" t="n">
        <v>8</v>
      </c>
      <c r="F93" s="42" t="s">
        <v>523</v>
      </c>
    </row>
    <row r="94" customFormat="false" ht="15" hidden="false" customHeight="false" outlineLevel="0" collapsed="false">
      <c r="A94" s="42" t="n">
        <v>93</v>
      </c>
      <c r="B94" s="42" t="s">
        <v>409</v>
      </c>
      <c r="C94" s="42" t="s">
        <v>521</v>
      </c>
      <c r="D94" s="42" t="s">
        <v>522</v>
      </c>
      <c r="E94" s="42" t="n">
        <v>5.75</v>
      </c>
      <c r="F94" s="42" t="s">
        <v>523</v>
      </c>
    </row>
    <row r="95" customFormat="false" ht="15" hidden="false" customHeight="false" outlineLevel="0" collapsed="false">
      <c r="A95" s="42" t="n">
        <v>94</v>
      </c>
      <c r="B95" s="42" t="s">
        <v>410</v>
      </c>
      <c r="C95" s="42" t="s">
        <v>521</v>
      </c>
      <c r="D95" s="42" t="s">
        <v>522</v>
      </c>
      <c r="E95" s="42" t="n">
        <v>5.75</v>
      </c>
      <c r="F95" s="42" t="s">
        <v>523</v>
      </c>
    </row>
    <row r="96" customFormat="false" ht="15" hidden="false" customHeight="false" outlineLevel="0" collapsed="false">
      <c r="A96" s="42" t="n">
        <v>95</v>
      </c>
      <c r="B96" s="42" t="s">
        <v>411</v>
      </c>
      <c r="C96" s="42" t="s">
        <v>521</v>
      </c>
      <c r="D96" s="42" t="s">
        <v>522</v>
      </c>
      <c r="E96" s="42" t="n">
        <v>30</v>
      </c>
      <c r="F96" s="42" t="s">
        <v>523</v>
      </c>
    </row>
    <row r="97" customFormat="false" ht="15" hidden="false" customHeight="false" outlineLevel="0" collapsed="false">
      <c r="A97" s="42" t="n">
        <v>96</v>
      </c>
      <c r="B97" s="42" t="s">
        <v>412</v>
      </c>
      <c r="C97" s="42" t="s">
        <v>521</v>
      </c>
      <c r="D97" s="42" t="s">
        <v>522</v>
      </c>
      <c r="E97" s="42" t="n">
        <v>15.2</v>
      </c>
      <c r="F97" s="42" t="s">
        <v>523</v>
      </c>
    </row>
    <row r="98" customFormat="false" ht="15" hidden="false" customHeight="false" outlineLevel="0" collapsed="false">
      <c r="A98" s="42" t="n">
        <v>97</v>
      </c>
      <c r="B98" s="42" t="s">
        <v>413</v>
      </c>
      <c r="C98" s="42" t="s">
        <v>521</v>
      </c>
      <c r="D98" s="42" t="s">
        <v>522</v>
      </c>
      <c r="E98" s="42" t="n">
        <v>15</v>
      </c>
      <c r="F98" s="42" t="s">
        <v>523</v>
      </c>
    </row>
    <row r="99" customFormat="false" ht="15" hidden="false" customHeight="false" outlineLevel="0" collapsed="false">
      <c r="A99" s="42" t="n">
        <v>98</v>
      </c>
      <c r="B99" s="42" t="s">
        <v>414</v>
      </c>
      <c r="C99" s="42" t="s">
        <v>521</v>
      </c>
      <c r="D99" s="42" t="s">
        <v>522</v>
      </c>
      <c r="E99" s="42" t="n">
        <v>14</v>
      </c>
      <c r="F99" s="42" t="s">
        <v>523</v>
      </c>
    </row>
    <row r="100" customFormat="false" ht="15" hidden="false" customHeight="false" outlineLevel="0" collapsed="false">
      <c r="A100" s="42" t="n">
        <v>99</v>
      </c>
      <c r="B100" s="42" t="s">
        <v>415</v>
      </c>
      <c r="C100" s="42" t="s">
        <v>521</v>
      </c>
      <c r="D100" s="42" t="s">
        <v>522</v>
      </c>
      <c r="E100" s="42" t="n">
        <v>16</v>
      </c>
      <c r="F100" s="42" t="s">
        <v>523</v>
      </c>
    </row>
    <row r="101" customFormat="false" ht="15" hidden="false" customHeight="false" outlineLevel="0" collapsed="false">
      <c r="A101" s="42" t="n">
        <v>100</v>
      </c>
      <c r="B101" s="42" t="s">
        <v>416</v>
      </c>
      <c r="C101" s="42" t="s">
        <v>521</v>
      </c>
      <c r="D101" s="42" t="s">
        <v>522</v>
      </c>
      <c r="E101" s="42" t="n">
        <v>12</v>
      </c>
      <c r="F101" s="42" t="s">
        <v>523</v>
      </c>
    </row>
    <row r="102" customFormat="false" ht="15" hidden="false" customHeight="false" outlineLevel="0" collapsed="false">
      <c r="A102" s="42" t="n">
        <v>101</v>
      </c>
      <c r="B102" s="42" t="s">
        <v>417</v>
      </c>
      <c r="C102" s="42" t="s">
        <v>521</v>
      </c>
      <c r="D102" s="42" t="s">
        <v>522</v>
      </c>
      <c r="E102" s="42" t="n">
        <v>15.3</v>
      </c>
      <c r="F102" s="42" t="s">
        <v>523</v>
      </c>
    </row>
    <row r="103" customFormat="false" ht="15" hidden="false" customHeight="false" outlineLevel="0" collapsed="false">
      <c r="A103" s="42" t="n">
        <v>102</v>
      </c>
      <c r="B103" s="42" t="s">
        <v>418</v>
      </c>
      <c r="C103" s="42" t="s">
        <v>521</v>
      </c>
      <c r="D103" s="42" t="s">
        <v>522</v>
      </c>
      <c r="E103" s="42" t="n">
        <v>22</v>
      </c>
      <c r="F103" s="42" t="s">
        <v>523</v>
      </c>
    </row>
    <row r="104" customFormat="false" ht="15" hidden="false" customHeight="false" outlineLevel="0" collapsed="false">
      <c r="A104" s="42" t="n">
        <v>103</v>
      </c>
      <c r="B104" s="42" t="s">
        <v>419</v>
      </c>
      <c r="C104" s="42" t="s">
        <v>521</v>
      </c>
      <c r="D104" s="42" t="s">
        <v>522</v>
      </c>
      <c r="E104" s="42" t="n">
        <v>15.2</v>
      </c>
      <c r="F104" s="42" t="s">
        <v>523</v>
      </c>
    </row>
    <row r="105" customFormat="false" ht="15" hidden="false" customHeight="false" outlineLevel="0" collapsed="false">
      <c r="A105" s="42" t="n">
        <v>104</v>
      </c>
      <c r="B105" s="42" t="s">
        <v>420</v>
      </c>
      <c r="C105" s="42" t="s">
        <v>521</v>
      </c>
      <c r="D105" s="42" t="s">
        <v>522</v>
      </c>
      <c r="E105" s="42" t="n">
        <v>5.26</v>
      </c>
      <c r="F105" s="42" t="s">
        <v>523</v>
      </c>
    </row>
    <row r="106" customFormat="false" ht="15" hidden="false" customHeight="false" outlineLevel="0" collapsed="false">
      <c r="A106" s="42" t="n">
        <v>105</v>
      </c>
      <c r="B106" s="42" t="s">
        <v>421</v>
      </c>
      <c r="C106" s="42" t="s">
        <v>521</v>
      </c>
      <c r="D106" s="42" t="s">
        <v>522</v>
      </c>
      <c r="E106" s="42" t="n">
        <v>6.14</v>
      </c>
      <c r="F106" s="42" t="s">
        <v>523</v>
      </c>
    </row>
    <row r="107" customFormat="false" ht="15" hidden="false" customHeight="false" outlineLevel="0" collapsed="false">
      <c r="A107" s="42" t="n">
        <v>106</v>
      </c>
      <c r="B107" s="42" t="s">
        <v>422</v>
      </c>
      <c r="C107" s="42" t="s">
        <v>521</v>
      </c>
      <c r="D107" s="42" t="s">
        <v>522</v>
      </c>
      <c r="E107" s="42" t="n">
        <v>25.7</v>
      </c>
      <c r="F107" s="42" t="s">
        <v>523</v>
      </c>
    </row>
    <row r="108" customFormat="false" ht="15" hidden="false" customHeight="false" outlineLevel="0" collapsed="false">
      <c r="A108" s="42" t="n">
        <v>107</v>
      </c>
      <c r="B108" s="42" t="s">
        <v>423</v>
      </c>
      <c r="C108" s="42" t="s">
        <v>521</v>
      </c>
      <c r="D108" s="42" t="s">
        <v>522</v>
      </c>
      <c r="E108" s="42" t="n">
        <v>8</v>
      </c>
      <c r="F108" s="42" t="s">
        <v>523</v>
      </c>
    </row>
    <row r="109" customFormat="false" ht="15" hidden="false" customHeight="false" outlineLevel="0" collapsed="false">
      <c r="A109" s="42" t="n">
        <v>108</v>
      </c>
      <c r="B109" s="42" t="s">
        <v>424</v>
      </c>
      <c r="C109" s="42" t="s">
        <v>521</v>
      </c>
      <c r="D109" s="42" t="s">
        <v>522</v>
      </c>
      <c r="E109" s="42" t="n">
        <v>14.2</v>
      </c>
      <c r="F109" s="42" t="s">
        <v>523</v>
      </c>
    </row>
    <row r="110" customFormat="false" ht="15" hidden="false" customHeight="false" outlineLevel="0" collapsed="false">
      <c r="A110" s="42" t="n">
        <v>109</v>
      </c>
      <c r="B110" s="42" t="s">
        <v>425</v>
      </c>
      <c r="C110" s="42" t="s">
        <v>521</v>
      </c>
      <c r="D110" s="42" t="s">
        <v>522</v>
      </c>
      <c r="E110" s="42" t="n">
        <v>14</v>
      </c>
      <c r="F110" s="42" t="s">
        <v>523</v>
      </c>
    </row>
    <row r="111" customFormat="false" ht="15" hidden="false" customHeight="false" outlineLevel="0" collapsed="false">
      <c r="A111" s="42" t="n">
        <v>110</v>
      </c>
      <c r="B111" s="42" t="s">
        <v>426</v>
      </c>
      <c r="C111" s="42" t="s">
        <v>521</v>
      </c>
      <c r="D111" s="42" t="s">
        <v>522</v>
      </c>
      <c r="E111" s="42" t="n">
        <v>1</v>
      </c>
      <c r="F111" s="42" t="s">
        <v>176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L2" activeCellId="1" sqref="C133:D152 L2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4.83"/>
    <col collapsed="false" customWidth="true" hidden="false" outlineLevel="0" max="2" min="2" style="0" width="13.51"/>
    <col collapsed="false" customWidth="true" hidden="false" outlineLevel="0" max="3" min="3" style="0" width="11.51"/>
    <col collapsed="false" customWidth="true" hidden="false" outlineLevel="0" max="4" min="4" style="0" width="11.33"/>
    <col collapsed="false" customWidth="true" hidden="false" outlineLevel="0" max="6" min="5" style="0" width="5.16"/>
    <col collapsed="false" customWidth="true" hidden="false" outlineLevel="0" max="7" min="7" style="0" width="2.16"/>
    <col collapsed="false" customWidth="true" hidden="false" outlineLevel="0" max="10" min="8" style="0" width="3.34"/>
    <col collapsed="false" customWidth="true" hidden="false" outlineLevel="0" max="11" min="11" style="0" width="4.5"/>
    <col collapsed="false" customWidth="true" hidden="false" outlineLevel="0" max="12" min="12" style="0" width="5.83"/>
  </cols>
  <sheetData>
    <row r="1" customFormat="false" ht="15" hidden="false" customHeight="false" outlineLevel="0" collapsed="false">
      <c r="A1" s="61" t="s">
        <v>10</v>
      </c>
      <c r="B1" s="61" t="s">
        <v>524</v>
      </c>
      <c r="C1" s="61" t="s">
        <v>11</v>
      </c>
      <c r="D1" s="61" t="s">
        <v>525</v>
      </c>
      <c r="E1" s="61" t="s">
        <v>526</v>
      </c>
      <c r="F1" s="61" t="s">
        <v>527</v>
      </c>
      <c r="G1" s="61" t="s">
        <v>528</v>
      </c>
      <c r="H1" s="61" t="s">
        <v>529</v>
      </c>
      <c r="I1" s="61" t="s">
        <v>530</v>
      </c>
      <c r="J1" s="61" t="s">
        <v>531</v>
      </c>
      <c r="K1" s="61" t="s">
        <v>532</v>
      </c>
      <c r="L1" s="61" t="s">
        <v>533</v>
      </c>
    </row>
    <row r="2" customFormat="false" ht="15" hidden="false" customHeight="false" outlineLevel="0" collapsed="false">
      <c r="A2" s="44" t="n">
        <v>1</v>
      </c>
      <c r="B2" s="62" t="s">
        <v>427</v>
      </c>
      <c r="C2" s="62" t="s">
        <v>80</v>
      </c>
      <c r="D2" s="62" t="s">
        <v>534</v>
      </c>
      <c r="E2" s="62" t="n">
        <v>0</v>
      </c>
      <c r="F2" s="62"/>
      <c r="G2" s="62"/>
      <c r="H2" s="62" t="n">
        <v>1</v>
      </c>
      <c r="I2" s="62" t="n">
        <v>0</v>
      </c>
      <c r="J2" s="62" t="n">
        <v>1</v>
      </c>
      <c r="K2" s="62" t="n">
        <v>4</v>
      </c>
      <c r="L2" s="62" t="n">
        <f aca="false">SUM(E2:K2)</f>
        <v>6</v>
      </c>
    </row>
    <row r="3" customFormat="false" ht="15" hidden="false" customHeight="false" outlineLevel="0" collapsed="false">
      <c r="A3" s="44" t="n">
        <v>2</v>
      </c>
      <c r="B3" s="62" t="s">
        <v>428</v>
      </c>
      <c r="C3" s="62" t="s">
        <v>80</v>
      </c>
      <c r="D3" s="62" t="s">
        <v>32</v>
      </c>
      <c r="E3" s="62" t="n">
        <v>4</v>
      </c>
      <c r="F3" s="62" t="n">
        <v>1</v>
      </c>
      <c r="G3" s="62" t="n">
        <v>0</v>
      </c>
      <c r="H3" s="62" t="n">
        <v>4</v>
      </c>
      <c r="I3" s="62" t="n">
        <v>1</v>
      </c>
      <c r="J3" s="62" t="n">
        <v>2</v>
      </c>
      <c r="K3" s="62" t="n">
        <v>5</v>
      </c>
      <c r="L3" s="62" t="n">
        <f aca="false">SUM(E3:K3)</f>
        <v>17</v>
      </c>
    </row>
    <row r="4" customFormat="false" ht="15" hidden="false" customHeight="false" outlineLevel="0" collapsed="false">
      <c r="A4" s="44" t="n">
        <v>3</v>
      </c>
      <c r="B4" s="62" t="s">
        <v>429</v>
      </c>
      <c r="C4" s="62" t="s">
        <v>80</v>
      </c>
      <c r="D4" s="62" t="s">
        <v>535</v>
      </c>
      <c r="E4" s="62" t="n">
        <v>0</v>
      </c>
      <c r="F4" s="62" t="n">
        <v>9</v>
      </c>
      <c r="G4" s="62" t="n">
        <v>0</v>
      </c>
      <c r="H4" s="62" t="n">
        <v>0</v>
      </c>
      <c r="I4" s="62" t="n">
        <v>14</v>
      </c>
      <c r="J4" s="62" t="n">
        <v>7</v>
      </c>
      <c r="K4" s="62" t="n">
        <v>7</v>
      </c>
      <c r="L4" s="62" t="n">
        <f aca="false">SUM(E4:K4)</f>
        <v>37</v>
      </c>
    </row>
    <row r="5" customFormat="false" ht="15" hidden="false" customHeight="false" outlineLevel="0" collapsed="false">
      <c r="A5" s="44" t="n">
        <v>4</v>
      </c>
      <c r="B5" s="62" t="s">
        <v>430</v>
      </c>
      <c r="C5" s="62" t="s">
        <v>80</v>
      </c>
      <c r="D5" s="62" t="s">
        <v>536</v>
      </c>
      <c r="E5" s="62"/>
      <c r="F5" s="62"/>
      <c r="G5" s="62"/>
      <c r="H5" s="62" t="n">
        <v>14</v>
      </c>
      <c r="I5" s="62" t="n">
        <v>4</v>
      </c>
      <c r="J5" s="62" t="n">
        <v>7</v>
      </c>
      <c r="K5" s="62" t="n">
        <v>3</v>
      </c>
      <c r="L5" s="62" t="n">
        <f aca="false">SUM(E5:K5)</f>
        <v>28</v>
      </c>
    </row>
    <row r="6" customFormat="false" ht="15" hidden="false" customHeight="false" outlineLevel="0" collapsed="false">
      <c r="A6" s="44" t="n">
        <v>5</v>
      </c>
      <c r="B6" s="62" t="s">
        <v>431</v>
      </c>
      <c r="C6" s="62" t="s">
        <v>80</v>
      </c>
      <c r="D6" s="62" t="s">
        <v>39</v>
      </c>
      <c r="E6" s="62"/>
      <c r="F6" s="62"/>
      <c r="G6" s="62"/>
      <c r="H6" s="62" t="n">
        <v>0</v>
      </c>
      <c r="I6" s="62" t="n">
        <v>3</v>
      </c>
      <c r="J6" s="62" t="n">
        <v>3</v>
      </c>
      <c r="K6" s="62" t="n">
        <v>3</v>
      </c>
      <c r="L6" s="62" t="n">
        <f aca="false">SUM(E6:K6)</f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27" activeCellId="1" sqref="C133:D152 H27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4.83"/>
    <col collapsed="false" customWidth="true" hidden="false" outlineLevel="0" max="2" min="2" style="0" width="10"/>
    <col collapsed="false" customWidth="true" hidden="false" outlineLevel="0" max="3" min="3" style="0" width="18.33"/>
  </cols>
  <sheetData>
    <row r="1" customFormat="false" ht="15" hidden="false" customHeight="false" outlineLevel="0" collapsed="false">
      <c r="A1" s="63" t="s">
        <v>10</v>
      </c>
      <c r="B1" s="63" t="s">
        <v>434</v>
      </c>
      <c r="C1" s="63" t="s">
        <v>525</v>
      </c>
      <c r="D1" s="63" t="s">
        <v>65</v>
      </c>
      <c r="E1" s="63" t="s">
        <v>537</v>
      </c>
    </row>
    <row r="2" customFormat="false" ht="15" hidden="false" customHeight="false" outlineLevel="0" collapsed="false">
      <c r="A2" s="31" t="n">
        <v>1</v>
      </c>
      <c r="B2" s="31" t="s">
        <v>46</v>
      </c>
      <c r="C2" s="31" t="s">
        <v>538</v>
      </c>
      <c r="D2" s="31" t="n">
        <v>14</v>
      </c>
      <c r="E2" s="33" t="s">
        <v>432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2025-11-27T10:49:17Z</dcterms:created>
  <dc:creator>kishorebabu K</dc:creator>
  <dc:description/>
  <dc:language>en-IN</dc:language>
  <cp:lastModifiedBy/>
  <dcterms:modified xsi:type="dcterms:W3CDTF">2025-12-09T20:16:36Z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